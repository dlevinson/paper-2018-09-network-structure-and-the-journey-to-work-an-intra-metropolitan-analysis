
<file path=[Content_Types].xml><?xml version="1.0" encoding="utf-8"?>
<Types xmlns="http://schemas.openxmlformats.org/package/2006/content-types">
  <Override PartName="/xl/styles.xml" ContentType="application/vnd.openxmlformats-officedocument.spreadsheetml.styles+xml"/>
  <Override PartName="/xl/drawings/drawing12.xml" ContentType="application/vnd.openxmlformats-officedocument.drawing+xml"/>
  <Override PartName="/xl/chartsheets/sheet9.xml" ContentType="application/vnd.openxmlformats-officedocument.spreadsheetml.chartsheet+xml"/>
  <Override PartName="/xl/charts/chart11.xml" ContentType="application/vnd.openxmlformats-officedocument.drawingml.chart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sharedStrings.xml" ContentType="application/vnd.openxmlformats-officedocument.spreadsheetml.sharedStrings+xml"/>
  <Override PartName="/xl/chartsheets/sheet5.xml" ContentType="application/vnd.openxmlformats-officedocument.spreadsheetml.chartsheet+xml"/>
  <Default Extension="rels" ContentType="application/vnd.openxmlformats-package.relationships+xml"/>
  <Override PartName="/xl/drawings/drawing3.xml" ContentType="application/vnd.openxmlformats-officedocument.drawing+xml"/>
  <Override PartName="/xl/chartsheets/sheet19.xml" ContentType="application/vnd.openxmlformats-officedocument.spreadsheetml.chartsheet+xml"/>
  <Override PartName="/xl/chartsheets/sheet1.xml" ContentType="application/vnd.openxmlformats-officedocument.spreadsheetml.chartsheet+xml"/>
  <Default Extension="jpeg" ContentType="image/jpeg"/>
  <Override PartName="/xl/drawings/drawing20.xml" ContentType="application/vnd.openxmlformats-officedocument.drawing+xml"/>
  <Override PartName="/xl/chartsheets/sheet15.xml" ContentType="application/vnd.openxmlformats-officedocument.spreadsheetml.chartsheet+xml"/>
  <Override PartName="/xl/chartsheets/sheet23.xml" ContentType="application/vnd.openxmlformats-officedocument.spreadsheetml.chartsheet+xml"/>
  <Override PartName="/docProps/app.xml" ContentType="application/vnd.openxmlformats-officedocument.extended-properties+xml"/>
  <Override PartName="/xl/drawings/drawing17.xml" ContentType="application/vnd.openxmlformats-officedocument.drawing+xml"/>
  <Override PartName="/xl/charts/chart16.xml" ContentType="application/vnd.openxmlformats-officedocument.drawingml.chart+xml"/>
  <Override PartName="/xl/chartsheets/sheet11.xml" ContentType="application/vnd.openxmlformats-officedocument.spreadsheetml.chartsheet+xml"/>
  <Override PartName="/xl/charts/chart2.xml" ContentType="application/vnd.openxmlformats-officedocument.drawingml.chart+xml"/>
  <Default Extension="xml" ContentType="application/xml"/>
  <Override PartName="/xl/drawings/drawing13.xml" ContentType="application/vnd.openxmlformats-officedocument.drawing+xml"/>
  <Override PartName="/xl/charts/chart12.xml" ContentType="application/vnd.openxmlformats-officedocument.drawingml.chart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heets/sheet6.xml" ContentType="application/vnd.openxmlformats-officedocument.spreadsheetml.chartsheet+xml"/>
  <Override PartName="/xl/drawings/drawing4.xml" ContentType="application/vnd.openxmlformats-officedocument.drawing+xml"/>
  <Override PartName="/docProps/core.xml" ContentType="application/vnd.openxmlformats-package.core-properties+xml"/>
  <Override PartName="/xl/chartsheets/sheet2.xml" ContentType="application/vnd.openxmlformats-officedocument.spreadsheetml.chartsheet+xml"/>
  <Override PartName="/xl/worksheets/sheet1.xml" ContentType="application/vnd.openxmlformats-officedocument.spreadsheetml.worksheet+xml"/>
  <Override PartName="/xl/drawings/drawing21.xml" ContentType="application/vnd.openxmlformats-officedocument.drawing+xml"/>
  <Override PartName="/xl/charts/chart20.xml" ContentType="application/vnd.openxmlformats-officedocument.drawingml.chart+xml"/>
  <Override PartName="/xl/chartsheets/sheet16.xml" ContentType="application/vnd.openxmlformats-officedocument.spreadsheetml.chartsheet+xml"/>
  <Override PartName="/xl/workbook.xml" ContentType="application/vnd.openxmlformats-officedocument.spreadsheetml.sheet.main+xml"/>
  <Override PartName="/xl/drawings/drawing18.xml" ContentType="application/vnd.openxmlformats-officedocument.drawing+xml"/>
  <Override PartName="/xl/charts/chart17.xml" ContentType="application/vnd.openxmlformats-officedocument.drawingml.chart+xml"/>
  <Override PartName="/xl/chartsheets/sheet12.xml" ContentType="application/vnd.openxmlformats-officedocument.spreadsheetml.chartsheet+xml"/>
  <Override PartName="/xl/chartsheets/sheet20.xml" ContentType="application/vnd.openxmlformats-officedocument.spreadsheetml.chartsheet+xml"/>
  <Override PartName="/xl/charts/chart3.xml" ContentType="application/vnd.openxmlformats-officedocument.drawingml.chart+xml"/>
  <Override PartName="/xl/drawings/drawing14.xml" ContentType="application/vnd.openxmlformats-officedocument.drawing+xml"/>
  <Override PartName="/xl/charts/chart13.xml" ContentType="application/vnd.openxmlformats-officedocument.drawingml.chart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theme/theme1.xml" ContentType="application/vnd.openxmlformats-officedocument.theme+xml"/>
  <Override PartName="/xl/chartsheets/sheet7.xml" ContentType="application/vnd.openxmlformats-officedocument.spreadsheetml.chartsheet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heets/sheet3.xml" ContentType="application/vnd.openxmlformats-officedocument.spreadsheetml.chartsheet+xml"/>
  <Override PartName="/xl/drawings/drawing22.xml" ContentType="application/vnd.openxmlformats-officedocument.drawing+xml"/>
  <Override PartName="/xl/drawings/drawing1.xml" ContentType="application/vnd.openxmlformats-officedocument.drawing+xml"/>
  <Override PartName="/xl/chartsheets/sheet17.xml" ContentType="application/vnd.openxmlformats-officedocument.spreadsheetml.chartsheet+xml"/>
  <Override PartName="/xl/charts/chart21.xml" ContentType="application/vnd.openxmlformats-officedocument.drawingml.chart+xml"/>
  <Override PartName="/xl/drawings/drawing19.xml" ContentType="application/vnd.openxmlformats-officedocument.drawing+xml"/>
  <Override PartName="/xl/charts/chart18.xml" ContentType="application/vnd.openxmlformats-officedocument.drawingml.chart+xml"/>
  <Override PartName="/xl/chartsheets/sheet13.xml" ContentType="application/vnd.openxmlformats-officedocument.spreadsheetml.chartsheet+xml"/>
  <Override PartName="/xl/chartsheets/sheet21.xml" ContentType="application/vnd.openxmlformats-officedocument.spreadsheetml.chartsheet+xml"/>
  <Override PartName="/xl/drawings/drawing15.xml" ContentType="application/vnd.openxmlformats-officedocument.drawing+xml"/>
  <Override PartName="/xl/charts/chart14.xml" ContentType="application/vnd.openxmlformats-officedocument.drawingml.chart+xml"/>
  <Override PartName="/xl/charts/chart9.xml" ContentType="application/vnd.openxmlformats-officedocument.drawingml.chart+xml"/>
  <Override PartName="/xl/drawings/drawing11.xml" ContentType="application/vnd.openxmlformats-officedocument.drawing+xml"/>
  <Override PartName="/xl/chartsheets/sheet8.xml" ContentType="application/vnd.openxmlformats-officedocument.spreadsheetml.chartsheet+xml"/>
  <Override PartName="/xl/charts/chart10.xml" ContentType="application/vnd.openxmlformats-officedocument.drawingml.chart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heets/sheet4.xml" ContentType="application/vnd.openxmlformats-officedocument.spreadsheetml.chartsheet+xml"/>
  <Override PartName="/xl/drawings/drawing23.xml" ContentType="application/vnd.openxmlformats-officedocument.drawing+xml"/>
  <Override PartName="/xl/drawings/drawing2.xml" ContentType="application/vnd.openxmlformats-officedocument.drawing+xml"/>
  <Override PartName="/xl/chartsheets/sheet18.xml" ContentType="application/vnd.openxmlformats-officedocument.spreadsheetml.chartsheet+xml"/>
  <Override PartName="/xl/charts/chart22.xml" ContentType="application/vnd.openxmlformats-officedocument.drawingml.chart+xml"/>
  <Override PartName="/xl/charts/chart19.xml" ContentType="application/vnd.openxmlformats-officedocument.drawingml.chart+xml"/>
  <Override PartName="/xl/chartsheets/sheet14.xml" ContentType="application/vnd.openxmlformats-officedocument.spreadsheetml.chartsheet+xml"/>
  <Override PartName="/xl/chartsheets/sheet22.xml" ContentType="application/vnd.openxmlformats-officedocument.spreadsheetml.chartsheet+xml"/>
  <Override PartName="/xl/drawings/drawing16.xml" ContentType="application/vnd.openxmlformats-officedocument.drawing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heets/sheet10.xml" ContentType="application/vnd.openxmlformats-officedocument.spreadsheetml.chartsheet+xml"/>
  <Override PartName="/xl/charts/chart1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showInkAnnotation="0" autoCompressPictures="0"/>
  <bookViews>
    <workbookView xWindow="400" yWindow="280" windowWidth="24320" windowHeight="13460" tabRatio="896" firstSheet="16" activeTab="23"/>
  </bookViews>
  <sheets>
    <sheet name="StataData" sheetId="4" r:id="rId1"/>
    <sheet name="Alpha_vs_TT" sheetId="5" r:id="rId2"/>
    <sheet name="Beta_vs_TT" sheetId="9" r:id="rId3"/>
    <sheet name="Gamma_vs_TT" sheetId="10" r:id="rId4"/>
    <sheet name="Eta_vs_TT" sheetId="8" r:id="rId5"/>
    <sheet name="Branchness_vs_TT" sheetId="11" r:id="rId6"/>
    <sheet name="Completeness_vs_TT" sheetId="12" r:id="rId7"/>
    <sheet name="Circuity_vs_TT" sheetId="13" r:id="rId8"/>
    <sheet name="Ent-len_vs_TT" sheetId="21" r:id="rId9"/>
    <sheet name="Alpha_vs_VKT" sheetId="14" r:id="rId10"/>
    <sheet name="Beta_vs_VKT" sheetId="15" r:id="rId11"/>
    <sheet name="Gamma_vs_VKT" sheetId="19" r:id="rId12"/>
    <sheet name="Eta_vs_VKT" sheetId="16" r:id="rId13"/>
    <sheet name="Branchness_vs_VKT" sheetId="17" r:id="rId14"/>
    <sheet name="Completeness_vs_VKT" sheetId="18" r:id="rId15"/>
    <sheet name="Circuity_vs_VKT" sheetId="20" r:id="rId16"/>
    <sheet name="Ent-len_vs_VKT" sheetId="22" r:id="rId17"/>
    <sheet name="Alpha_vs_Eta" sheetId="28" r:id="rId18"/>
    <sheet name="Alpha_vs_Circuity" sheetId="31" r:id="rId19"/>
    <sheet name="Alpha_vs_Treeness" sheetId="24" r:id="rId20"/>
    <sheet name="Circuity_vs_Treeness" sheetId="25" r:id="rId21"/>
    <sheet name="Completeness_vs_Treeness" sheetId="26" r:id="rId22"/>
    <sheet name="StreetDensity_vs_Eta" sheetId="29" r:id="rId23"/>
    <sheet name="Theta_vs_Ent_len" sheetId="34" r:id="rId24"/>
  </sheets>
  <calcPr calcId="130407" concurrentCalc="0"/>
  <extLst>
    <ext xmlns:mx="http://schemas.microsoft.com/office/mac/excel/2008/main" uri="http://schemas.microsoft.com/office/mac/excel/2008/main">
      <mx:ArchID Flags="2"/>
    </ext>
  </extLst>
</workbook>
</file>

<file path=xl/calcChain.xml><?xml version="1.0" encoding="utf-8"?>
<calcChain xmlns="http://schemas.openxmlformats.org/spreadsheetml/2006/main">
  <c r="CS2" i="4"/>
  <c r="CS3"/>
  <c r="CS4"/>
  <c r="CS5"/>
  <c r="CS6"/>
  <c r="CS7"/>
  <c r="CS8"/>
  <c r="CS9"/>
  <c r="CS10"/>
  <c r="CS11"/>
  <c r="CS12"/>
  <c r="CS13"/>
  <c r="CS14"/>
  <c r="CS15"/>
  <c r="CS16"/>
  <c r="CS17"/>
  <c r="CS18"/>
  <c r="CS19"/>
  <c r="CS20"/>
  <c r="CS21"/>
  <c r="CS22"/>
  <c r="CS23"/>
  <c r="CS24"/>
  <c r="CS25"/>
  <c r="CS26"/>
  <c r="CS27"/>
  <c r="CS28"/>
  <c r="CS29"/>
  <c r="CS30"/>
  <c r="CS31"/>
  <c r="CS32"/>
  <c r="CS33"/>
  <c r="CS34"/>
  <c r="CS35"/>
  <c r="CS36"/>
  <c r="CS37"/>
  <c r="CS38"/>
  <c r="CS39"/>
  <c r="CS40"/>
  <c r="CS41"/>
  <c r="CS42"/>
  <c r="CS43"/>
  <c r="CS44"/>
  <c r="CS45"/>
  <c r="CS46"/>
  <c r="CS47"/>
  <c r="CS48"/>
  <c r="CS49"/>
  <c r="CS50"/>
  <c r="CS51"/>
  <c r="CS52"/>
  <c r="CS53"/>
  <c r="CS54"/>
  <c r="CS55"/>
  <c r="CS56"/>
  <c r="CS57"/>
  <c r="CS58"/>
  <c r="CS59"/>
  <c r="CS60"/>
  <c r="CS61"/>
  <c r="CS62"/>
  <c r="CS63"/>
  <c r="CS64"/>
  <c r="CS65"/>
  <c r="CS66"/>
  <c r="CS67"/>
  <c r="CS68"/>
  <c r="CS69"/>
  <c r="CS70"/>
  <c r="CS71"/>
  <c r="CS72"/>
  <c r="CS73"/>
  <c r="CS74"/>
  <c r="CS75"/>
  <c r="CS76"/>
  <c r="CS77"/>
  <c r="CS78"/>
  <c r="CS79"/>
  <c r="CS80"/>
  <c r="CS81"/>
  <c r="CS82"/>
  <c r="CS83"/>
  <c r="CS84"/>
  <c r="CS85"/>
  <c r="CS86"/>
  <c r="CS87"/>
  <c r="CS88"/>
  <c r="CS89"/>
  <c r="CS90"/>
  <c r="CS91"/>
  <c r="CS92"/>
  <c r="CS93"/>
  <c r="CS94"/>
  <c r="CS95"/>
  <c r="CS96"/>
  <c r="CS97"/>
  <c r="CS98"/>
  <c r="CS99"/>
  <c r="CS100"/>
  <c r="CS101"/>
  <c r="CS102"/>
  <c r="CS103"/>
  <c r="CS104"/>
  <c r="CS105"/>
  <c r="CS106"/>
  <c r="CS107"/>
  <c r="CS108"/>
  <c r="CS109"/>
  <c r="CS110"/>
  <c r="CS111"/>
  <c r="CS112"/>
  <c r="CS113"/>
  <c r="CS114"/>
  <c r="CS115"/>
  <c r="CS116"/>
  <c r="CS117"/>
  <c r="CS118"/>
  <c r="CS119"/>
  <c r="CS120"/>
  <c r="CS121"/>
  <c r="CS122"/>
  <c r="CS123"/>
  <c r="CS124"/>
  <c r="CS125"/>
  <c r="CS126"/>
  <c r="CS127"/>
  <c r="CS128"/>
  <c r="CS129"/>
  <c r="CS130"/>
  <c r="CS131"/>
  <c r="CS132"/>
  <c r="CS133"/>
  <c r="CS134"/>
  <c r="CS135"/>
  <c r="CS136"/>
  <c r="CS137"/>
  <c r="CS138"/>
  <c r="CS139"/>
  <c r="CS140"/>
  <c r="CS141"/>
  <c r="CS142"/>
  <c r="CS143"/>
  <c r="CS144"/>
  <c r="CS145"/>
  <c r="CS146"/>
  <c r="CS147"/>
  <c r="CS148"/>
  <c r="CS149"/>
  <c r="CS150"/>
  <c r="CS151"/>
  <c r="CS152"/>
  <c r="CS153"/>
  <c r="CS154"/>
  <c r="CS155"/>
  <c r="CS156"/>
  <c r="CS157"/>
  <c r="CS158"/>
  <c r="CS159"/>
  <c r="CS160"/>
  <c r="CS161"/>
  <c r="CS162"/>
  <c r="CS163"/>
  <c r="CS164"/>
  <c r="CS165"/>
  <c r="CS166"/>
  <c r="CS167"/>
  <c r="CS168"/>
  <c r="CS169"/>
  <c r="CS170"/>
  <c r="CS171"/>
  <c r="CS172"/>
  <c r="CS173"/>
  <c r="CS174"/>
  <c r="CS175"/>
  <c r="CS176"/>
  <c r="CS177"/>
  <c r="CS178"/>
  <c r="CS179"/>
  <c r="CS180"/>
  <c r="CS181"/>
  <c r="CS182"/>
  <c r="CS183"/>
  <c r="CS184"/>
  <c r="CS185"/>
  <c r="Y3"/>
  <c r="Y4"/>
  <c r="Y5"/>
  <c r="Y6"/>
  <c r="Y7"/>
  <c r="Y8"/>
  <c r="Y9"/>
  <c r="Y10"/>
  <c r="Y11"/>
  <c r="Y12"/>
  <c r="Y13"/>
  <c r="Y14"/>
  <c r="Y15"/>
  <c r="Y16"/>
  <c r="Y17"/>
  <c r="Y18"/>
  <c r="Y19"/>
  <c r="Y20"/>
  <c r="Y21"/>
  <c r="Y22"/>
  <c r="Y23"/>
  <c r="Y24"/>
  <c r="Y25"/>
  <c r="Y26"/>
  <c r="Y27"/>
  <c r="Y28"/>
  <c r="Y29"/>
  <c r="Y30"/>
  <c r="Y31"/>
  <c r="Y32"/>
  <c r="Y33"/>
  <c r="Y34"/>
  <c r="Y35"/>
  <c r="Y36"/>
  <c r="Y37"/>
  <c r="Y38"/>
  <c r="Y39"/>
  <c r="Y40"/>
  <c r="Y41"/>
  <c r="Y42"/>
  <c r="Y43"/>
  <c r="Y44"/>
  <c r="Y45"/>
  <c r="Y46"/>
  <c r="Y47"/>
  <c r="Y48"/>
  <c r="Y49"/>
  <c r="Y50"/>
  <c r="Y51"/>
  <c r="Y52"/>
  <c r="Y53"/>
  <c r="Y54"/>
  <c r="Y55"/>
  <c r="Y56"/>
  <c r="Y57"/>
  <c r="Y58"/>
  <c r="Y59"/>
  <c r="Y60"/>
  <c r="Y61"/>
  <c r="Y62"/>
  <c r="Y63"/>
  <c r="Y64"/>
  <c r="Y65"/>
  <c r="Y66"/>
  <c r="Y67"/>
  <c r="Y68"/>
  <c r="Y69"/>
  <c r="Y70"/>
  <c r="Y71"/>
  <c r="Y72"/>
  <c r="Y73"/>
  <c r="Y74"/>
  <c r="Y75"/>
  <c r="Y76"/>
  <c r="Y77"/>
  <c r="Y78"/>
  <c r="Y79"/>
  <c r="Y80"/>
  <c r="Y81"/>
  <c r="Y82"/>
  <c r="Y83"/>
  <c r="Y84"/>
  <c r="Y85"/>
  <c r="Y86"/>
  <c r="Y87"/>
  <c r="Y88"/>
  <c r="Y89"/>
  <c r="Y90"/>
  <c r="Y91"/>
  <c r="Y92"/>
  <c r="Y93"/>
  <c r="Y94"/>
  <c r="Y95"/>
  <c r="Y96"/>
  <c r="Y97"/>
  <c r="Y98"/>
  <c r="Y99"/>
  <c r="Y100"/>
  <c r="Y101"/>
  <c r="Y102"/>
  <c r="Y103"/>
  <c r="Y104"/>
  <c r="Y105"/>
  <c r="Y106"/>
  <c r="Y107"/>
  <c r="Y108"/>
  <c r="Y109"/>
  <c r="Y110"/>
  <c r="Y111"/>
  <c r="Y112"/>
  <c r="Y113"/>
  <c r="Y114"/>
  <c r="Y115"/>
  <c r="Y116"/>
  <c r="Y117"/>
  <c r="Y118"/>
  <c r="Y119"/>
  <c r="Y120"/>
  <c r="Y121"/>
  <c r="Y122"/>
  <c r="Y123"/>
  <c r="Y124"/>
  <c r="Y125"/>
  <c r="Y126"/>
  <c r="Y127"/>
  <c r="Y128"/>
  <c r="Y129"/>
  <c r="Y130"/>
  <c r="Y131"/>
  <c r="Y132"/>
  <c r="Y133"/>
  <c r="Y134"/>
  <c r="Y135"/>
  <c r="Y136"/>
  <c r="Y137"/>
  <c r="Y138"/>
  <c r="Y139"/>
  <c r="Y140"/>
  <c r="Y141"/>
  <c r="Y142"/>
  <c r="Y143"/>
  <c r="Y144"/>
  <c r="Y145"/>
  <c r="Y146"/>
  <c r="Y147"/>
  <c r="Y148"/>
  <c r="Y149"/>
  <c r="Y150"/>
  <c r="Y151"/>
  <c r="Y152"/>
  <c r="Y153"/>
  <c r="Y154"/>
  <c r="Y155"/>
  <c r="Y156"/>
  <c r="Y157"/>
  <c r="Y158"/>
  <c r="Y159"/>
  <c r="Y160"/>
  <c r="Y161"/>
  <c r="Y162"/>
  <c r="Y163"/>
  <c r="Y164"/>
  <c r="Y165"/>
  <c r="Y166"/>
  <c r="Y167"/>
  <c r="Y168"/>
  <c r="Y169"/>
  <c r="Y170"/>
  <c r="Y171"/>
  <c r="Y172"/>
  <c r="Y173"/>
  <c r="Y174"/>
  <c r="Y175"/>
  <c r="Y176"/>
  <c r="Y177"/>
  <c r="Y178"/>
  <c r="Y179"/>
  <c r="Y180"/>
  <c r="Y181"/>
  <c r="Y182"/>
  <c r="Y183"/>
  <c r="Y184"/>
  <c r="Y185"/>
  <c r="Y2"/>
</calcChain>
</file>

<file path=xl/sharedStrings.xml><?xml version="1.0" encoding="utf-8"?>
<sst xmlns="http://schemas.openxmlformats.org/spreadsheetml/2006/main" count="647" uniqueCount="305">
  <si>
    <t>New Market Township</t>
  </si>
  <si>
    <t>New Prague City</t>
  </si>
  <si>
    <t>New Scandia Township</t>
  </si>
  <si>
    <t>New Trier City</t>
  </si>
  <si>
    <t>Newport City</t>
  </si>
  <si>
    <t>Nininger Township</t>
  </si>
  <si>
    <t>North Oaks City</t>
  </si>
  <si>
    <t>North St Paul City</t>
  </si>
  <si>
    <t>North St. Paul City</t>
  </si>
  <si>
    <t>Northfield City</t>
  </si>
  <si>
    <t>Columbia Heights City</t>
  </si>
  <si>
    <t>Coon Rapids City</t>
  </si>
  <si>
    <t>Corcoran City</t>
  </si>
  <si>
    <t>Cottage Grove City</t>
  </si>
  <si>
    <t>Credit River Township</t>
  </si>
  <si>
    <t>Crystal City</t>
  </si>
  <si>
    <t>Dahlgren Township</t>
  </si>
  <si>
    <t>Dayton City</t>
  </si>
  <si>
    <t>Deephaven City</t>
  </si>
  <si>
    <t>Dellwood City</t>
  </si>
  <si>
    <t>Denmark Township</t>
  </si>
  <si>
    <t>Ramsey City</t>
  </si>
  <si>
    <t>Randolph City</t>
  </si>
  <si>
    <t>Randolph Township</t>
  </si>
  <si>
    <t>Ravenna Township</t>
  </si>
  <si>
    <t>Richfield City</t>
  </si>
  <si>
    <t>Robbinsdale City</t>
  </si>
  <si>
    <t>Rockford City</t>
  </si>
  <si>
    <t>Rogers City</t>
  </si>
  <si>
    <t>Falcon Heights City</t>
  </si>
  <si>
    <t>Farmington City</t>
  </si>
  <si>
    <t>Forest Lake City</t>
  </si>
  <si>
    <t>Fridley City</t>
  </si>
  <si>
    <t>Gem Lake City</t>
  </si>
  <si>
    <t>Golden Valley City</t>
  </si>
  <si>
    <t>Grant City</t>
  </si>
  <si>
    <t>Greenfield City</t>
  </si>
  <si>
    <t>Shorewood City</t>
  </si>
  <si>
    <t>South St Paul City</t>
  </si>
  <si>
    <t>South St. Paul City</t>
  </si>
  <si>
    <t>Spring Lake Park City</t>
  </si>
  <si>
    <t>Spring Lake Township</t>
  </si>
  <si>
    <t>Spring Park City</t>
  </si>
  <si>
    <t>St Anthony City</t>
  </si>
  <si>
    <t>Hancock Township</t>
  </si>
  <si>
    <t>Hanover City</t>
  </si>
  <si>
    <t>Hassan Township</t>
  </si>
  <si>
    <t>Hastings City</t>
  </si>
  <si>
    <t>Helena Township</t>
  </si>
  <si>
    <t>Hilltop City</t>
  </si>
  <si>
    <t>Hollywood Township</t>
  </si>
  <si>
    <t>Hopkins City</t>
  </si>
  <si>
    <t>St Louis Park City</t>
  </si>
  <si>
    <t>St. Louis Park City</t>
  </si>
  <si>
    <t>St Marys Point City</t>
  </si>
  <si>
    <t>St. Marys Point City</t>
  </si>
  <si>
    <t>St Paul City</t>
  </si>
  <si>
    <t>St. Paul City</t>
  </si>
  <si>
    <t>St Paul Park City</t>
  </si>
  <si>
    <t>St. Paul Park City</t>
  </si>
  <si>
    <t>Lake St Croix Beach City</t>
  </si>
  <si>
    <t>Lake St. Croix Beach City</t>
  </si>
  <si>
    <t>Lakeland City</t>
  </si>
  <si>
    <t>Lakeland Shores City</t>
  </si>
  <si>
    <t>Laketown Township</t>
  </si>
  <si>
    <t>Lakeville City</t>
  </si>
  <si>
    <t>Landfall City</t>
  </si>
  <si>
    <t>Lauderdale City</t>
  </si>
  <si>
    <t>West Lakeland Township</t>
  </si>
  <si>
    <t>West St Paul City</t>
  </si>
  <si>
    <t>West St. Paul City</t>
  </si>
  <si>
    <t>White Bear Lake City</t>
  </si>
  <si>
    <t>White Bear Township</t>
  </si>
  <si>
    <t>Willernie City</t>
  </si>
  <si>
    <t>Woodbury City</t>
  </si>
  <si>
    <t>Ramsey/Washington</t>
  </si>
  <si>
    <t>Woodland City</t>
  </si>
  <si>
    <t>Young America Township</t>
  </si>
  <si>
    <r>
      <t>completeness*10</t>
    </r>
    <r>
      <rPr>
        <vertAlign val="superscript"/>
        <sz val="10"/>
        <rFont val="Verdana"/>
      </rPr>
      <t>3</t>
    </r>
    <phoneticPr fontId="1" type="noConversion"/>
  </si>
  <si>
    <t>Marshan Township</t>
  </si>
  <si>
    <t>May Township</t>
  </si>
  <si>
    <t>Mayer City</t>
  </si>
  <si>
    <t>Medicine Lake City</t>
  </si>
  <si>
    <t>Medina City</t>
  </si>
  <si>
    <t>Mendota City</t>
  </si>
  <si>
    <t>Mendota Heights City</t>
  </si>
  <si>
    <t>Miesville City</t>
  </si>
  <si>
    <t>Minneapolis City</t>
  </si>
  <si>
    <t>Minnetonka Beach City</t>
  </si>
  <si>
    <t>Minnetonka City</t>
  </si>
  <si>
    <t>Minnetrista City</t>
  </si>
  <si>
    <t>Mound City</t>
  </si>
  <si>
    <t>Mounds View City</t>
  </si>
  <si>
    <t>New Brighton City</t>
  </si>
  <si>
    <t>Anoka/Ramsey</t>
  </si>
  <si>
    <t>New Germany City</t>
  </si>
  <si>
    <t>New Hope City</t>
  </si>
  <si>
    <t>New Market City</t>
  </si>
  <si>
    <t>ptagefwy</t>
  </si>
  <si>
    <t>nonlocal_meters</t>
  </si>
  <si>
    <t>local_meters</t>
  </si>
  <si>
    <t>totfwy_meters</t>
  </si>
  <si>
    <t>totrdwy_meters</t>
  </si>
  <si>
    <t>stdens_km2</t>
  </si>
  <si>
    <t>a10_a19</t>
  </si>
  <si>
    <t>a20_a29</t>
  </si>
  <si>
    <t>a30_a39</t>
  </si>
  <si>
    <t>a40_a49</t>
  </si>
  <si>
    <t>a50_a59</t>
  </si>
  <si>
    <t>a60_a69</t>
  </si>
  <si>
    <t>a70_a75</t>
  </si>
  <si>
    <t>a_other</t>
  </si>
  <si>
    <t>Norwood Young America City</t>
  </si>
  <si>
    <t>Oak Grove City</t>
  </si>
  <si>
    <t>Oak Park Heights City</t>
  </si>
  <si>
    <t>Oakdale City</t>
  </si>
  <si>
    <t>Orono City</t>
  </si>
  <si>
    <t>Osseo City</t>
  </si>
  <si>
    <t>Pine Springs City</t>
  </si>
  <si>
    <t>Plymouth City</t>
  </si>
  <si>
    <t>Prior Lake City</t>
  </si>
  <si>
    <t>no_wrks</t>
  </si>
  <si>
    <t>avg_tt</t>
  </si>
  <si>
    <t>spd_ph3_mp</t>
  </si>
  <si>
    <t>spd_ph3_md</t>
  </si>
  <si>
    <t>spd_ph3_ap</t>
  </si>
  <si>
    <t>xcoord</t>
  </si>
  <si>
    <t>ycoord</t>
  </si>
  <si>
    <t>cblk_p</t>
  </si>
  <si>
    <t>cblk_a</t>
  </si>
  <si>
    <t>avgcblka</t>
  </si>
  <si>
    <t>p2a</t>
  </si>
  <si>
    <t>Rosemount City</t>
  </si>
  <si>
    <t>Roseville City</t>
  </si>
  <si>
    <t>San Francisco Township</t>
  </si>
  <si>
    <t>Sand Creek Township</t>
  </si>
  <si>
    <t>Savage City</t>
  </si>
  <si>
    <t>Sciota Township</t>
  </si>
  <si>
    <t>Shakopee City</t>
  </si>
  <si>
    <t>Shoreview City</t>
  </si>
  <si>
    <t>emp_l1n1_j20</t>
  </si>
  <si>
    <t>emp_l1n1_j30</t>
  </si>
  <si>
    <t>pwa_l1n1_p20</t>
  </si>
  <si>
    <t>pwa_l1n1_p30</t>
  </si>
  <si>
    <t>pwa_l1n1_l20</t>
  </si>
  <si>
    <t>pwa_l1n1_l30</t>
  </si>
  <si>
    <t>pwa_l1n1_j20</t>
  </si>
  <si>
    <t>pwa_l1n1_j30</t>
  </si>
  <si>
    <t>_merge</t>
  </si>
  <si>
    <t>St. Anthony City</t>
  </si>
  <si>
    <t>St Bonifacius City</t>
  </si>
  <si>
    <t>St. Bonifacius City</t>
  </si>
  <si>
    <t>St Francis City</t>
  </si>
  <si>
    <t>St. Francis City</t>
  </si>
  <si>
    <t>St Lawrence Township</t>
  </si>
  <si>
    <t>St. Lawrence Township</t>
  </si>
  <si>
    <t>dtwnspldist_km</t>
  </si>
  <si>
    <t>Afton City</t>
  </si>
  <si>
    <t>Washington</t>
  </si>
  <si>
    <t>Andover City</t>
  </si>
  <si>
    <t>Anoka</t>
  </si>
  <si>
    <t>Anoka City</t>
  </si>
  <si>
    <t>Apple Valley City</t>
  </si>
  <si>
    <t>Dakota</t>
  </si>
  <si>
    <t>Arden Hills City</t>
  </si>
  <si>
    <t>Ramsey</t>
  </si>
  <si>
    <t>Stillwater Township</t>
  </si>
  <si>
    <t>Sunfish Lake City</t>
  </si>
  <si>
    <t>Tonka Bay City</t>
  </si>
  <si>
    <t>Vadnais Heights City</t>
  </si>
  <si>
    <t>Vermillion City</t>
  </si>
  <si>
    <t>Vermillion Township</t>
  </si>
  <si>
    <t>Victoria City</t>
  </si>
  <si>
    <t>Waconia City</t>
  </si>
  <si>
    <t>Waconia Township</t>
  </si>
  <si>
    <t>Waterford Township</t>
  </si>
  <si>
    <t>Watertown City</t>
  </si>
  <si>
    <t>Watertown Township</t>
  </si>
  <si>
    <t>Wayzata City</t>
  </si>
  <si>
    <t>Blaine City</t>
  </si>
  <si>
    <t>Blakeley Township</t>
  </si>
  <si>
    <t>Bloomington City</t>
  </si>
  <si>
    <t>Hennepin</t>
  </si>
  <si>
    <t>Brooklyn Center City</t>
  </si>
  <si>
    <t>Brooklyn Park City</t>
  </si>
  <si>
    <t>Burns Township</t>
  </si>
  <si>
    <t>Burnsville City</t>
  </si>
  <si>
    <t>Camden Township</t>
  </si>
  <si>
    <t>Carver City</t>
  </si>
  <si>
    <t>Castle Rock Township</t>
  </si>
  <si>
    <t>Cedar Lake Township</t>
  </si>
  <si>
    <t>Centerville City</t>
  </si>
  <si>
    <t>Champlin City</t>
  </si>
  <si>
    <t>Carver/Hennepin</t>
  </si>
  <si>
    <t>Chanhassen City</t>
  </si>
  <si>
    <t>Chaska City</t>
  </si>
  <si>
    <t>Circle Pines City</t>
  </si>
  <si>
    <t>Coates City</t>
  </si>
  <si>
    <t>Cologne City</t>
  </si>
  <si>
    <t>l10_a19</t>
  </si>
  <si>
    <t>l20_l29</t>
  </si>
  <si>
    <t>l30_l39</t>
  </si>
  <si>
    <t>l40_l49</t>
  </si>
  <si>
    <t>l50_l59</t>
  </si>
  <si>
    <t>l60_l69</t>
  </si>
  <si>
    <t>l70_l75</t>
  </si>
  <si>
    <t>l_other</t>
  </si>
  <si>
    <t>dvmt</t>
  </si>
  <si>
    <t>centline_mi</t>
  </si>
  <si>
    <t>avg_veh_mi_pday</t>
  </si>
  <si>
    <t>dvktpercap</t>
  </si>
  <si>
    <t>aggtt</t>
  </si>
  <si>
    <t>theta (dvkt/simpnodes)</t>
    <phoneticPr fontId="1" type="noConversion"/>
  </si>
  <si>
    <t>Douglas Township</t>
  </si>
  <si>
    <t>Eagan City</t>
  </si>
  <si>
    <t>East Bethel City</t>
  </si>
  <si>
    <t>Eden Prairie City</t>
  </si>
  <si>
    <t>Edina City</t>
  </si>
  <si>
    <t>Elko City</t>
  </si>
  <si>
    <t>Empire Township</t>
  </si>
  <si>
    <t>Eureka Township</t>
  </si>
  <si>
    <t>Excelsior City</t>
  </si>
  <si>
    <t>accessibility_mp_pop</t>
  </si>
  <si>
    <t>accessibility_mp_labor</t>
  </si>
  <si>
    <t>accessibility_mp_emp</t>
  </si>
  <si>
    <t>pop_l1n1_p20</t>
  </si>
  <si>
    <t>pop_l1n1_p30</t>
  </si>
  <si>
    <t>lab_l1n1_l20</t>
  </si>
  <si>
    <t>lab_l1n1_l30</t>
  </si>
  <si>
    <t>Greenvale Township</t>
  </si>
  <si>
    <t>Greenwood City</t>
  </si>
  <si>
    <t>Grey Cloud Island Township</t>
  </si>
  <si>
    <t>Ham Lake City</t>
  </si>
  <si>
    <t>Hamburg City</t>
  </si>
  <si>
    <t>Hampton City</t>
  </si>
  <si>
    <t>Hampton Township</t>
  </si>
  <si>
    <t>dtwnmplstaz</t>
  </si>
  <si>
    <t>mplsxcoord</t>
  </si>
  <si>
    <t>mplsycoord</t>
  </si>
  <si>
    <t>dtwnsplstaz</t>
  </si>
  <si>
    <t>splxcoord</t>
  </si>
  <si>
    <t>splycoord</t>
  </si>
  <si>
    <t>dtwnmplsdist</t>
  </si>
  <si>
    <t>dtwnspldist</t>
  </si>
  <si>
    <t>dtwnmplsdist_km</t>
  </si>
  <si>
    <t>Hugo City</t>
  </si>
  <si>
    <t>Anoka/Ramsey/Washington</t>
  </si>
  <si>
    <t>Independence City</t>
  </si>
  <si>
    <t>Inver Grove Heights City</t>
  </si>
  <si>
    <t>Jackson Township</t>
  </si>
  <si>
    <t>Jordan City</t>
  </si>
  <si>
    <t>Lake Elmo City</t>
  </si>
  <si>
    <t>Bayport City</t>
  </si>
  <si>
    <t>Baytown Township</t>
  </si>
  <si>
    <t>Belle Plaine City</t>
  </si>
  <si>
    <t>Scott</t>
  </si>
  <si>
    <t>Belle Plaine Township</t>
  </si>
  <si>
    <t>Benton Township</t>
  </si>
  <si>
    <t>Carver</t>
  </si>
  <si>
    <t>Bethel City</t>
  </si>
  <si>
    <t>Birchwood Village City</t>
  </si>
  <si>
    <t>Lexington City</t>
  </si>
  <si>
    <t>Lino Lakes City</t>
  </si>
  <si>
    <t>Linwood Township</t>
  </si>
  <si>
    <t>Little Canada City</t>
  </si>
  <si>
    <t>Long Lake City</t>
  </si>
  <si>
    <t>Loretto City</t>
  </si>
  <si>
    <t>Louisville Township</t>
  </si>
  <si>
    <t>Mahtomedi City</t>
  </si>
  <si>
    <t>Maple Grove City</t>
  </si>
  <si>
    <t>Maple Plain City</t>
  </si>
  <si>
    <t>Maplewood City</t>
  </si>
  <si>
    <t>Marine on St Croix City</t>
  </si>
  <si>
    <t>Marine on St. Croix City</t>
  </si>
  <si>
    <t>javalinks</t>
  </si>
  <si>
    <t>javanodes</t>
  </si>
  <si>
    <t>cycno_u</t>
  </si>
  <si>
    <t>alpha</t>
  </si>
  <si>
    <t>beta</t>
  </si>
  <si>
    <t>gamma</t>
  </si>
  <si>
    <t>eta</t>
  </si>
  <si>
    <t>branchness</t>
  </si>
  <si>
    <t>area_km2</t>
  </si>
  <si>
    <t>completeness</t>
  </si>
  <si>
    <t>circuitness</t>
  </si>
  <si>
    <t>netwdist</t>
  </si>
  <si>
    <t>eucldist</t>
  </si>
  <si>
    <t>cnt_od_pairs</t>
  </si>
  <si>
    <t>circuity</t>
  </si>
  <si>
    <t>cityname</t>
  </si>
  <si>
    <t>countyname</t>
  </si>
  <si>
    <t>name</t>
  </si>
  <si>
    <t>pop2000</t>
  </si>
  <si>
    <t>popdes</t>
  </si>
  <si>
    <t>labdens</t>
  </si>
  <si>
    <t>averageemployment</t>
  </si>
  <si>
    <t>empdensavgemparea</t>
  </si>
  <si>
    <t>medhhinc99</t>
  </si>
  <si>
    <t>auto_ms</t>
  </si>
  <si>
    <t>origlinks</t>
  </si>
  <si>
    <t>orignodes</t>
  </si>
  <si>
    <t>simplinks</t>
  </si>
  <si>
    <t>simpnodes</t>
  </si>
  <si>
    <t>ent_h</t>
  </si>
  <si>
    <t>ent_len</t>
  </si>
</sst>
</file>

<file path=xl/styles.xml><?xml version="1.0" encoding="utf-8"?>
<styleSheet xmlns="http://schemas.openxmlformats.org/spreadsheetml/2006/main">
  <fonts count="3">
    <font>
      <sz val="10"/>
      <name val="Verdana"/>
    </font>
    <font>
      <sz val="8"/>
      <name val="Verdana"/>
    </font>
    <font>
      <vertAlign val="superscript"/>
      <sz val="10"/>
      <name val="Verdana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hartsheet" Target="chartsheets/sheet8.xml"/><Relationship Id="rId20" Type="http://schemas.openxmlformats.org/officeDocument/2006/relationships/chartsheet" Target="chartsheets/sheet19.xml"/><Relationship Id="rId21" Type="http://schemas.openxmlformats.org/officeDocument/2006/relationships/chartsheet" Target="chartsheets/sheet20.xml"/><Relationship Id="rId22" Type="http://schemas.openxmlformats.org/officeDocument/2006/relationships/chartsheet" Target="chartsheets/sheet21.xml"/><Relationship Id="rId23" Type="http://schemas.openxmlformats.org/officeDocument/2006/relationships/chartsheet" Target="chartsheets/sheet22.xml"/><Relationship Id="rId24" Type="http://schemas.openxmlformats.org/officeDocument/2006/relationships/chartsheet" Target="chartsheets/sheet23.xml"/><Relationship Id="rId25" Type="http://schemas.openxmlformats.org/officeDocument/2006/relationships/theme" Target="theme/theme1.xml"/><Relationship Id="rId26" Type="http://schemas.openxmlformats.org/officeDocument/2006/relationships/styles" Target="styles.xml"/><Relationship Id="rId27" Type="http://schemas.openxmlformats.org/officeDocument/2006/relationships/sharedStrings" Target="sharedStrings.xml"/><Relationship Id="rId28" Type="http://schemas.openxmlformats.org/officeDocument/2006/relationships/calcChain" Target="calcChain.xml"/><Relationship Id="rId10" Type="http://schemas.openxmlformats.org/officeDocument/2006/relationships/chartsheet" Target="chartsheets/sheet9.xml"/><Relationship Id="rId11" Type="http://schemas.openxmlformats.org/officeDocument/2006/relationships/chartsheet" Target="chartsheets/sheet10.xml"/><Relationship Id="rId12" Type="http://schemas.openxmlformats.org/officeDocument/2006/relationships/chartsheet" Target="chartsheets/sheet11.xml"/><Relationship Id="rId13" Type="http://schemas.openxmlformats.org/officeDocument/2006/relationships/chartsheet" Target="chartsheets/sheet12.xml"/><Relationship Id="rId14" Type="http://schemas.openxmlformats.org/officeDocument/2006/relationships/chartsheet" Target="chartsheets/sheet13.xml"/><Relationship Id="rId15" Type="http://schemas.openxmlformats.org/officeDocument/2006/relationships/chartsheet" Target="chartsheets/sheet14.xml"/><Relationship Id="rId16" Type="http://schemas.openxmlformats.org/officeDocument/2006/relationships/chartsheet" Target="chartsheets/sheet15.xml"/><Relationship Id="rId17" Type="http://schemas.openxmlformats.org/officeDocument/2006/relationships/chartsheet" Target="chartsheets/sheet16.xml"/><Relationship Id="rId18" Type="http://schemas.openxmlformats.org/officeDocument/2006/relationships/chartsheet" Target="chartsheets/sheet17.xml"/><Relationship Id="rId19" Type="http://schemas.openxmlformats.org/officeDocument/2006/relationships/chartsheet" Target="chartsheets/sheet18.xml"/><Relationship Id="rId1" Type="http://schemas.openxmlformats.org/officeDocument/2006/relationships/worksheet" Target="worksheets/sheet1.xml"/><Relationship Id="rId2" Type="http://schemas.openxmlformats.org/officeDocument/2006/relationships/chartsheet" Target="chartsheets/sheet1.xml"/><Relationship Id="rId3" Type="http://schemas.openxmlformats.org/officeDocument/2006/relationships/chartsheet" Target="chartsheets/sheet2.xml"/><Relationship Id="rId4" Type="http://schemas.openxmlformats.org/officeDocument/2006/relationships/chartsheet" Target="chartsheets/sheet3.xml"/><Relationship Id="rId5" Type="http://schemas.openxmlformats.org/officeDocument/2006/relationships/chartsheet" Target="chartsheets/sheet4.xml"/><Relationship Id="rId6" Type="http://schemas.openxmlformats.org/officeDocument/2006/relationships/chartsheet" Target="chartsheets/sheet5.xml"/><Relationship Id="rId7" Type="http://schemas.openxmlformats.org/officeDocument/2006/relationships/chartsheet" Target="chartsheets/sheet6.xml"/><Relationship Id="rId8" Type="http://schemas.openxmlformats.org/officeDocument/2006/relationships/chartsheet" Target="chartsheets/sheet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US"/>
  <c:style val="12"/>
  <c:chart>
    <c:title>
      <c:tx>
        <c:rich>
          <a:bodyPr/>
          <a:lstStyle/>
          <a:p>
            <a:pPr>
              <a:defRPr/>
            </a:pPr>
            <a:r>
              <a:rPr lang="en-US"/>
              <a:t>Average Travel Time (min) vs. Alpha measure</a:t>
            </a:r>
          </a:p>
        </c:rich>
      </c:tx>
    </c:title>
    <c:plotArea>
      <c:layout/>
      <c:scatterChart>
        <c:scatterStyle val="lineMarker"/>
        <c:ser>
          <c:idx val="0"/>
          <c:order val="0"/>
          <c:tx>
            <c:strRef>
              <c:f>StataData!$BI$1</c:f>
              <c:strCache>
                <c:ptCount val="1"/>
                <c:pt idx="0">
                  <c:v>avg_tt</c:v>
                </c:pt>
              </c:strCache>
            </c:strRef>
          </c:tx>
          <c:spPr>
            <a:ln w="47625">
              <a:noFill/>
            </a:ln>
          </c:spPr>
          <c:marker>
            <c:symbol val="circle"/>
            <c:size val="6"/>
          </c:marker>
          <c:trendline>
            <c:trendlineType val="linear"/>
            <c:dispRSqr val="1"/>
            <c:dispEq val="1"/>
            <c:trendlineLbl>
              <c:layout>
                <c:manualLayout>
                  <c:x val="0.0272750072907553"/>
                  <c:y val="0.0803147934324864"/>
                </c:manualLayout>
              </c:layout>
              <c:numFmt formatCode="General" sourceLinked="0"/>
            </c:trendlineLbl>
          </c:trendline>
          <c:xVal>
            <c:numRef>
              <c:f>StataData!$R$2:$R$185</c:f>
              <c:numCache>
                <c:formatCode>General</c:formatCode>
                <c:ptCount val="184"/>
                <c:pt idx="0">
                  <c:v>0.065764</c:v>
                </c:pt>
                <c:pt idx="1">
                  <c:v>0.1443616</c:v>
                </c:pt>
                <c:pt idx="2">
                  <c:v>0.2307692</c:v>
                </c:pt>
                <c:pt idx="3">
                  <c:v>0.1261612</c:v>
                </c:pt>
                <c:pt idx="4">
                  <c:v>0.1704423</c:v>
                </c:pt>
                <c:pt idx="5">
                  <c:v>0.2245614</c:v>
                </c:pt>
                <c:pt idx="6">
                  <c:v>0.0082988</c:v>
                </c:pt>
                <c:pt idx="7">
                  <c:v>0.2352941</c:v>
                </c:pt>
                <c:pt idx="8">
                  <c:v>0.1073171</c:v>
                </c:pt>
                <c:pt idx="9">
                  <c:v>0.0394432</c:v>
                </c:pt>
                <c:pt idx="10">
                  <c:v>0.1052632</c:v>
                </c:pt>
                <c:pt idx="11">
                  <c:v>0.1368421</c:v>
                </c:pt>
                <c:pt idx="12">
                  <c:v>0.1815651</c:v>
                </c:pt>
                <c:pt idx="13">
                  <c:v>0.112782</c:v>
                </c:pt>
                <c:pt idx="14">
                  <c:v>0.2027742</c:v>
                </c:pt>
                <c:pt idx="15">
                  <c:v>0.2618352</c:v>
                </c:pt>
                <c:pt idx="16">
                  <c:v>0.174175</c:v>
                </c:pt>
                <c:pt idx="17">
                  <c:v>0.0912951</c:v>
                </c:pt>
                <c:pt idx="18">
                  <c:v>0.1366051</c:v>
                </c:pt>
                <c:pt idx="19">
                  <c:v>0.031068</c:v>
                </c:pt>
                <c:pt idx="20">
                  <c:v>0.0917874</c:v>
                </c:pt>
                <c:pt idx="21">
                  <c:v>0.0754352</c:v>
                </c:pt>
                <c:pt idx="22">
                  <c:v>0.1223629</c:v>
                </c:pt>
                <c:pt idx="23">
                  <c:v>0.0938628</c:v>
                </c:pt>
                <c:pt idx="24">
                  <c:v>0.1390476</c:v>
                </c:pt>
                <c:pt idx="25">
                  <c:v>0.0989215</c:v>
                </c:pt>
                <c:pt idx="26">
                  <c:v>0.1216469</c:v>
                </c:pt>
                <c:pt idx="27">
                  <c:v>0.1882353</c:v>
                </c:pt>
                <c:pt idx="28">
                  <c:v>0.1428571</c:v>
                </c:pt>
                <c:pt idx="29">
                  <c:v>0.1371429</c:v>
                </c:pt>
                <c:pt idx="30">
                  <c:v>0.3176471</c:v>
                </c:pt>
                <c:pt idx="31">
                  <c:v>0.1694092</c:v>
                </c:pt>
                <c:pt idx="32">
                  <c:v>0.0685155</c:v>
                </c:pt>
                <c:pt idx="33">
                  <c:v>0.158516</c:v>
                </c:pt>
                <c:pt idx="34">
                  <c:v>0.1010309</c:v>
                </c:pt>
                <c:pt idx="35">
                  <c:v>0.2433898</c:v>
                </c:pt>
                <c:pt idx="36">
                  <c:v>0.0451977</c:v>
                </c:pt>
                <c:pt idx="37">
                  <c:v>0.0842333</c:v>
                </c:pt>
                <c:pt idx="38">
                  <c:v>0.1062124</c:v>
                </c:pt>
                <c:pt idx="39">
                  <c:v>0.1180124</c:v>
                </c:pt>
                <c:pt idx="40">
                  <c:v>0.0926829</c:v>
                </c:pt>
                <c:pt idx="41">
                  <c:v>0.1403509</c:v>
                </c:pt>
                <c:pt idx="42">
                  <c:v>0.1253488</c:v>
                </c:pt>
                <c:pt idx="43">
                  <c:v>0.1067367</c:v>
                </c:pt>
                <c:pt idx="44">
                  <c:v>0.1120794</c:v>
                </c:pt>
                <c:pt idx="45">
                  <c:v>0.2108716</c:v>
                </c:pt>
                <c:pt idx="46">
                  <c:v>0.0632911</c:v>
                </c:pt>
                <c:pt idx="47">
                  <c:v>0.1022222</c:v>
                </c:pt>
                <c:pt idx="48">
                  <c:v>0.109215</c:v>
                </c:pt>
                <c:pt idx="49">
                  <c:v>0.1566265</c:v>
                </c:pt>
                <c:pt idx="50">
                  <c:v>0.2609819</c:v>
                </c:pt>
                <c:pt idx="51">
                  <c:v>0.1888325</c:v>
                </c:pt>
                <c:pt idx="52">
                  <c:v>0.143155</c:v>
                </c:pt>
                <c:pt idx="53">
                  <c:v>0.2243142</c:v>
                </c:pt>
                <c:pt idx="54">
                  <c:v>0.0697674</c:v>
                </c:pt>
                <c:pt idx="55">
                  <c:v>0.2303848</c:v>
                </c:pt>
                <c:pt idx="56">
                  <c:v>0.0712871</c:v>
                </c:pt>
                <c:pt idx="57">
                  <c:v>0.0474934</c:v>
                </c:pt>
                <c:pt idx="58">
                  <c:v>0.1575758</c:v>
                </c:pt>
                <c:pt idx="59">
                  <c:v>0.0530973</c:v>
                </c:pt>
                <c:pt idx="60">
                  <c:v>0.030303</c:v>
                </c:pt>
                <c:pt idx="61">
                  <c:v>0.0967329</c:v>
                </c:pt>
                <c:pt idx="62">
                  <c:v>0.1636364</c:v>
                </c:pt>
                <c:pt idx="63">
                  <c:v>0.1728395</c:v>
                </c:pt>
                <c:pt idx="64">
                  <c:v>0.0798722</c:v>
                </c:pt>
                <c:pt idx="65">
                  <c:v>0.0788177</c:v>
                </c:pt>
                <c:pt idx="66">
                  <c:v>0.0444444</c:v>
                </c:pt>
                <c:pt idx="67">
                  <c:v>0.0383632</c:v>
                </c:pt>
                <c:pt idx="68">
                  <c:v>0.2193772</c:v>
                </c:pt>
                <c:pt idx="69">
                  <c:v>0.1298701</c:v>
                </c:pt>
                <c:pt idx="70">
                  <c:v>0.1791045</c:v>
                </c:pt>
                <c:pt idx="71">
                  <c:v>0.0639175</c:v>
                </c:pt>
                <c:pt idx="72">
                  <c:v>0.2141998</c:v>
                </c:pt>
                <c:pt idx="73">
                  <c:v>0.1323283</c:v>
                </c:pt>
                <c:pt idx="74">
                  <c:v>0.0889292</c:v>
                </c:pt>
                <c:pt idx="75">
                  <c:v>0.1430313</c:v>
                </c:pt>
                <c:pt idx="76">
                  <c:v>0.0693642</c:v>
                </c:pt>
                <c:pt idx="77">
                  <c:v>0.1561772</c:v>
                </c:pt>
                <c:pt idx="78">
                  <c:v>0.1055807</c:v>
                </c:pt>
                <c:pt idx="79">
                  <c:v>0.2445415</c:v>
                </c:pt>
                <c:pt idx="80">
                  <c:v>0.1553398</c:v>
                </c:pt>
                <c:pt idx="81">
                  <c:v>0.0701754</c:v>
                </c:pt>
                <c:pt idx="82">
                  <c:v>0.0369515</c:v>
                </c:pt>
                <c:pt idx="83">
                  <c:v>0.1371543</c:v>
                </c:pt>
                <c:pt idx="84">
                  <c:v>0.2054795</c:v>
                </c:pt>
                <c:pt idx="85">
                  <c:v>0.3043478</c:v>
                </c:pt>
                <c:pt idx="86">
                  <c:v>0.2307692</c:v>
                </c:pt>
                <c:pt idx="87">
                  <c:v>0.1161731</c:v>
                </c:pt>
                <c:pt idx="88">
                  <c:v>0.1109185</c:v>
                </c:pt>
                <c:pt idx="89">
                  <c:v>0.1506849</c:v>
                </c:pt>
                <c:pt idx="90">
                  <c:v>0.134715</c:v>
                </c:pt>
                <c:pt idx="91">
                  <c:v>0.1803279</c:v>
                </c:pt>
                <c:pt idx="92">
                  <c:v>0.011583</c:v>
                </c:pt>
                <c:pt idx="93">
                  <c:v>0.1334149</c:v>
                </c:pt>
                <c:pt idx="94">
                  <c:v>0.1278849</c:v>
                </c:pt>
                <c:pt idx="95">
                  <c:v>0.1698113</c:v>
                </c:pt>
                <c:pt idx="96">
                  <c:v>0.2193897</c:v>
                </c:pt>
                <c:pt idx="97">
                  <c:v>0.0935673</c:v>
                </c:pt>
                <c:pt idx="98">
                  <c:v>0.1469194</c:v>
                </c:pt>
                <c:pt idx="99">
                  <c:v>0.0527705</c:v>
                </c:pt>
                <c:pt idx="100">
                  <c:v>0.0884956</c:v>
                </c:pt>
                <c:pt idx="101">
                  <c:v>0.0666667</c:v>
                </c:pt>
                <c:pt idx="102">
                  <c:v>0.0593081</c:v>
                </c:pt>
                <c:pt idx="103">
                  <c:v>0.0275229</c:v>
                </c:pt>
                <c:pt idx="104">
                  <c:v>0.1399267</c:v>
                </c:pt>
                <c:pt idx="105">
                  <c:v>0.037037</c:v>
                </c:pt>
                <c:pt idx="106">
                  <c:v>0.3748928</c:v>
                </c:pt>
                <c:pt idx="107">
                  <c:v>0.1058824</c:v>
                </c:pt>
                <c:pt idx="108">
                  <c:v>0.1189989</c:v>
                </c:pt>
                <c:pt idx="109">
                  <c:v>0.0411862</c:v>
                </c:pt>
                <c:pt idx="110">
                  <c:v>0.1439921</c:v>
                </c:pt>
                <c:pt idx="111">
                  <c:v>0.2681048</c:v>
                </c:pt>
                <c:pt idx="112">
                  <c:v>0.2050708</c:v>
                </c:pt>
                <c:pt idx="113">
                  <c:v>0.0144928</c:v>
                </c:pt>
                <c:pt idx="114">
                  <c:v>0.1813333</c:v>
                </c:pt>
                <c:pt idx="115">
                  <c:v>0.0987654</c:v>
                </c:pt>
                <c:pt idx="116">
                  <c:v>0.070615</c:v>
                </c:pt>
                <c:pt idx="117">
                  <c:v>0.2149254</c:v>
                </c:pt>
                <c:pt idx="118">
                  <c:v>0.0745342</c:v>
                </c:pt>
                <c:pt idx="119">
                  <c:v>0.1481481</c:v>
                </c:pt>
                <c:pt idx="120">
                  <c:v>0.2</c:v>
                </c:pt>
                <c:pt idx="121">
                  <c:v>0.0909091</c:v>
                </c:pt>
                <c:pt idx="122">
                  <c:v>0.0847458</c:v>
                </c:pt>
                <c:pt idx="123">
                  <c:v>0.303781</c:v>
                </c:pt>
                <c:pt idx="124">
                  <c:v>0.019802</c:v>
                </c:pt>
                <c:pt idx="125">
                  <c:v>0.17737</c:v>
                </c:pt>
                <c:pt idx="126">
                  <c:v>0.1071081</c:v>
                </c:pt>
                <c:pt idx="127">
                  <c:v>0.1270208</c:v>
                </c:pt>
                <c:pt idx="128">
                  <c:v>0.1818182</c:v>
                </c:pt>
                <c:pt idx="129">
                  <c:v>0.0665543</c:v>
                </c:pt>
                <c:pt idx="130">
                  <c:v>0.3319838</c:v>
                </c:pt>
                <c:pt idx="131">
                  <c:v>0.027027</c:v>
                </c:pt>
                <c:pt idx="132">
                  <c:v>0.112453</c:v>
                </c:pt>
                <c:pt idx="133">
                  <c:v>0.1036545</c:v>
                </c:pt>
                <c:pt idx="134">
                  <c:v>0.1280228</c:v>
                </c:pt>
                <c:pt idx="135">
                  <c:v>0.1298701</c:v>
                </c:pt>
                <c:pt idx="136">
                  <c:v>0.0465116</c:v>
                </c:pt>
                <c:pt idx="137">
                  <c:v>0.1234043</c:v>
                </c:pt>
                <c:pt idx="138">
                  <c:v>0.3468635</c:v>
                </c:pt>
                <c:pt idx="139">
                  <c:v>0.2579583</c:v>
                </c:pt>
                <c:pt idx="140">
                  <c:v>0.1081081</c:v>
                </c:pt>
                <c:pt idx="141">
                  <c:v>0.0788091</c:v>
                </c:pt>
                <c:pt idx="142">
                  <c:v>0.1545236</c:v>
                </c:pt>
                <c:pt idx="143">
                  <c:v>0.2227466</c:v>
                </c:pt>
                <c:pt idx="144">
                  <c:v>0.0546075</c:v>
                </c:pt>
                <c:pt idx="145">
                  <c:v>0.056</c:v>
                </c:pt>
                <c:pt idx="146">
                  <c:v>0.119891</c:v>
                </c:pt>
                <c:pt idx="147">
                  <c:v>0.0983607</c:v>
                </c:pt>
                <c:pt idx="148">
                  <c:v>0.1827637</c:v>
                </c:pt>
                <c:pt idx="149">
                  <c:v>0.1681364</c:v>
                </c:pt>
                <c:pt idx="150">
                  <c:v>0.1143524</c:v>
                </c:pt>
                <c:pt idx="151">
                  <c:v>0.2407825</c:v>
                </c:pt>
                <c:pt idx="152">
                  <c:v>0.2570806</c:v>
                </c:pt>
                <c:pt idx="153">
                  <c:v>0.0618337</c:v>
                </c:pt>
                <c:pt idx="154">
                  <c:v>0.0322581</c:v>
                </c:pt>
                <c:pt idx="155">
                  <c:v>0.3442623</c:v>
                </c:pt>
                <c:pt idx="156">
                  <c:v>0.0869565</c:v>
                </c:pt>
                <c:pt idx="157">
                  <c:v>0.0928196</c:v>
                </c:pt>
                <c:pt idx="158">
                  <c:v>0.0769231</c:v>
                </c:pt>
                <c:pt idx="159">
                  <c:v>0.2461294</c:v>
                </c:pt>
                <c:pt idx="160">
                  <c:v>0.1460674</c:v>
                </c:pt>
                <c:pt idx="161">
                  <c:v>0.3328307</c:v>
                </c:pt>
                <c:pt idx="162">
                  <c:v>0.2847059</c:v>
                </c:pt>
                <c:pt idx="163">
                  <c:v>0.0293333</c:v>
                </c:pt>
                <c:pt idx="164">
                  <c:v>0.0705882</c:v>
                </c:pt>
                <c:pt idx="165">
                  <c:v>0.0921659</c:v>
                </c:pt>
                <c:pt idx="166">
                  <c:v>0.1367521</c:v>
                </c:pt>
                <c:pt idx="167">
                  <c:v>0.0864198</c:v>
                </c:pt>
                <c:pt idx="168">
                  <c:v>0.160804</c:v>
                </c:pt>
                <c:pt idx="169">
                  <c:v>0.086233</c:v>
                </c:pt>
                <c:pt idx="170">
                  <c:v>0.1277705</c:v>
                </c:pt>
                <c:pt idx="171">
                  <c:v>0.0123203</c:v>
                </c:pt>
                <c:pt idx="172">
                  <c:v>0.1546392</c:v>
                </c:pt>
                <c:pt idx="173">
                  <c:v>0.1336516</c:v>
                </c:pt>
                <c:pt idx="174">
                  <c:v>0.0424403</c:v>
                </c:pt>
                <c:pt idx="175">
                  <c:v>0.1794872</c:v>
                </c:pt>
                <c:pt idx="176">
                  <c:v>0.0801782</c:v>
                </c:pt>
                <c:pt idx="177">
                  <c:v>0.2820258</c:v>
                </c:pt>
                <c:pt idx="178">
                  <c:v>0.2309538</c:v>
                </c:pt>
                <c:pt idx="179">
                  <c:v>0.1541711</c:v>
                </c:pt>
                <c:pt idx="180">
                  <c:v>0.1818182</c:v>
                </c:pt>
                <c:pt idx="181">
                  <c:v>0.1221952</c:v>
                </c:pt>
                <c:pt idx="182">
                  <c:v>0.0266667</c:v>
                </c:pt>
                <c:pt idx="183">
                  <c:v>0.0712468</c:v>
                </c:pt>
              </c:numCache>
            </c:numRef>
          </c:xVal>
          <c:yVal>
            <c:numRef>
              <c:f>StataData!$BI$2:$BI$185</c:f>
              <c:numCache>
                <c:formatCode>General</c:formatCode>
                <c:ptCount val="184"/>
                <c:pt idx="0">
                  <c:v>27.47931</c:v>
                </c:pt>
                <c:pt idx="1">
                  <c:v>30.44209</c:v>
                </c:pt>
                <c:pt idx="2">
                  <c:v>25.41279</c:v>
                </c:pt>
                <c:pt idx="3">
                  <c:v>23.84782</c:v>
                </c:pt>
                <c:pt idx="4">
                  <c:v>18.15101</c:v>
                </c:pt>
                <c:pt idx="5">
                  <c:v>18.35315</c:v>
                </c:pt>
                <c:pt idx="6">
                  <c:v>20.21851</c:v>
                </c:pt>
                <c:pt idx="7">
                  <c:v>24.47108</c:v>
                </c:pt>
                <c:pt idx="8">
                  <c:v>24.16176</c:v>
                </c:pt>
                <c:pt idx="9">
                  <c:v>24.102</c:v>
                </c:pt>
                <c:pt idx="10">
                  <c:v>32.66854</c:v>
                </c:pt>
                <c:pt idx="11">
                  <c:v>25.67901</c:v>
                </c:pt>
                <c:pt idx="12">
                  <c:v>26.5488</c:v>
                </c:pt>
                <c:pt idx="13">
                  <c:v>26.93548</c:v>
                </c:pt>
                <c:pt idx="14">
                  <c:v>20.19812</c:v>
                </c:pt>
                <c:pt idx="15">
                  <c:v>22.73826</c:v>
                </c:pt>
                <c:pt idx="16">
                  <c:v>23.86482</c:v>
                </c:pt>
                <c:pt idx="17">
                  <c:v>32.09904</c:v>
                </c:pt>
                <c:pt idx="18">
                  <c:v>22.38064</c:v>
                </c:pt>
                <c:pt idx="19">
                  <c:v>28.66876</c:v>
                </c:pt>
                <c:pt idx="20">
                  <c:v>28.00143</c:v>
                </c:pt>
                <c:pt idx="21">
                  <c:v>25.02558</c:v>
                </c:pt>
                <c:pt idx="22">
                  <c:v>29.93849</c:v>
                </c:pt>
                <c:pt idx="23">
                  <c:v>27.51105</c:v>
                </c:pt>
                <c:pt idx="24">
                  <c:v>28.16775</c:v>
                </c:pt>
                <c:pt idx="25">
                  <c:v>23.93929</c:v>
                </c:pt>
                <c:pt idx="26">
                  <c:v>24.35162</c:v>
                </c:pt>
                <c:pt idx="27">
                  <c:v>27.49502</c:v>
                </c:pt>
                <c:pt idx="28">
                  <c:v>38.22222</c:v>
                </c:pt>
                <c:pt idx="29">
                  <c:v>26.95971</c:v>
                </c:pt>
                <c:pt idx="30">
                  <c:v>20.84697</c:v>
                </c:pt>
                <c:pt idx="31">
                  <c:v>26.09281</c:v>
                </c:pt>
                <c:pt idx="32">
                  <c:v>27.95207</c:v>
                </c:pt>
                <c:pt idx="33">
                  <c:v>25.73387</c:v>
                </c:pt>
                <c:pt idx="34">
                  <c:v>24.1297</c:v>
                </c:pt>
                <c:pt idx="35">
                  <c:v>21.84362</c:v>
                </c:pt>
                <c:pt idx="36">
                  <c:v>27.63123</c:v>
                </c:pt>
                <c:pt idx="37">
                  <c:v>29.46672</c:v>
                </c:pt>
                <c:pt idx="38">
                  <c:v>27.60035</c:v>
                </c:pt>
                <c:pt idx="39">
                  <c:v>23.69565</c:v>
                </c:pt>
                <c:pt idx="40">
                  <c:v>25.08772</c:v>
                </c:pt>
                <c:pt idx="41">
                  <c:v>27.88026</c:v>
                </c:pt>
                <c:pt idx="42">
                  <c:v>22.37887</c:v>
                </c:pt>
                <c:pt idx="43">
                  <c:v>34.90987</c:v>
                </c:pt>
                <c:pt idx="44">
                  <c:v>20.72306</c:v>
                </c:pt>
                <c:pt idx="45">
                  <c:v>20.37152</c:v>
                </c:pt>
                <c:pt idx="46">
                  <c:v>27.50958</c:v>
                </c:pt>
                <c:pt idx="47">
                  <c:v>24.11932</c:v>
                </c:pt>
                <c:pt idx="48">
                  <c:v>23.94636</c:v>
                </c:pt>
                <c:pt idx="49">
                  <c:v>22.20345</c:v>
                </c:pt>
                <c:pt idx="50">
                  <c:v>19.07401</c:v>
                </c:pt>
                <c:pt idx="51">
                  <c:v>25.30614</c:v>
                </c:pt>
                <c:pt idx="52">
                  <c:v>26.28407</c:v>
                </c:pt>
                <c:pt idx="53">
                  <c:v>21.96902</c:v>
                </c:pt>
                <c:pt idx="54">
                  <c:v>18.95349</c:v>
                </c:pt>
                <c:pt idx="55">
                  <c:v>19.63996</c:v>
                </c:pt>
                <c:pt idx="56">
                  <c:v>25.14868</c:v>
                </c:pt>
                <c:pt idx="57">
                  <c:v>33.38107</c:v>
                </c:pt>
                <c:pt idx="58">
                  <c:v>25.90517</c:v>
                </c:pt>
                <c:pt idx="59">
                  <c:v>24.62466</c:v>
                </c:pt>
                <c:pt idx="60">
                  <c:v>24.01274</c:v>
                </c:pt>
                <c:pt idx="61">
                  <c:v>30.04026</c:v>
                </c:pt>
                <c:pt idx="62">
                  <c:v>25.49091</c:v>
                </c:pt>
                <c:pt idx="63">
                  <c:v>24.73684</c:v>
                </c:pt>
                <c:pt idx="64">
                  <c:v>26.98135</c:v>
                </c:pt>
                <c:pt idx="65">
                  <c:v>24.86667</c:v>
                </c:pt>
                <c:pt idx="66">
                  <c:v>29.43005</c:v>
                </c:pt>
                <c:pt idx="67">
                  <c:v>29.02719</c:v>
                </c:pt>
                <c:pt idx="68">
                  <c:v>21.96605</c:v>
                </c:pt>
                <c:pt idx="69">
                  <c:v>25.93662</c:v>
                </c:pt>
                <c:pt idx="70">
                  <c:v>30.61111</c:v>
                </c:pt>
                <c:pt idx="71">
                  <c:v>31.6826</c:v>
                </c:pt>
                <c:pt idx="72">
                  <c:v>20.11541</c:v>
                </c:pt>
                <c:pt idx="73">
                  <c:v>28.72535</c:v>
                </c:pt>
                <c:pt idx="74">
                  <c:v>29.11271</c:v>
                </c:pt>
                <c:pt idx="75">
                  <c:v>22.17776</c:v>
                </c:pt>
                <c:pt idx="76">
                  <c:v>21.94181</c:v>
                </c:pt>
                <c:pt idx="77">
                  <c:v>25.30848</c:v>
                </c:pt>
                <c:pt idx="78">
                  <c:v>23.13651</c:v>
                </c:pt>
                <c:pt idx="79">
                  <c:v>26.80159</c:v>
                </c:pt>
                <c:pt idx="80">
                  <c:v>24.27406</c:v>
                </c:pt>
                <c:pt idx="81">
                  <c:v>26.97143</c:v>
                </c:pt>
                <c:pt idx="82">
                  <c:v>23.64298</c:v>
                </c:pt>
                <c:pt idx="83">
                  <c:v>24.5927</c:v>
                </c:pt>
                <c:pt idx="84">
                  <c:v>24.70126</c:v>
                </c:pt>
                <c:pt idx="85">
                  <c:v>18.51195</c:v>
                </c:pt>
                <c:pt idx="86">
                  <c:v>21.90217</c:v>
                </c:pt>
                <c:pt idx="87">
                  <c:v>26.67302</c:v>
                </c:pt>
                <c:pt idx="88">
                  <c:v>32.90814</c:v>
                </c:pt>
                <c:pt idx="89">
                  <c:v>20.64633</c:v>
                </c:pt>
                <c:pt idx="90">
                  <c:v>23.6128</c:v>
                </c:pt>
                <c:pt idx="91">
                  <c:v>25.30449</c:v>
                </c:pt>
                <c:pt idx="92">
                  <c:v>21.91936</c:v>
                </c:pt>
                <c:pt idx="93">
                  <c:v>24.07095</c:v>
                </c:pt>
                <c:pt idx="94">
                  <c:v>25.53589</c:v>
                </c:pt>
                <c:pt idx="95">
                  <c:v>23.21131</c:v>
                </c:pt>
                <c:pt idx="96">
                  <c:v>22.56123</c:v>
                </c:pt>
                <c:pt idx="97">
                  <c:v>29.4382</c:v>
                </c:pt>
                <c:pt idx="98">
                  <c:v>24.83421</c:v>
                </c:pt>
                <c:pt idx="99">
                  <c:v>30.63471</c:v>
                </c:pt>
                <c:pt idx="100">
                  <c:v>28.29268</c:v>
                </c:pt>
                <c:pt idx="101">
                  <c:v>20.181</c:v>
                </c:pt>
                <c:pt idx="102">
                  <c:v>24.9137</c:v>
                </c:pt>
                <c:pt idx="103">
                  <c:v>18.8961</c:v>
                </c:pt>
                <c:pt idx="104">
                  <c:v>19.30581</c:v>
                </c:pt>
                <c:pt idx="105">
                  <c:v>21.66667</c:v>
                </c:pt>
                <c:pt idx="106">
                  <c:v>21.72159</c:v>
                </c:pt>
                <c:pt idx="107">
                  <c:v>24.24731</c:v>
                </c:pt>
                <c:pt idx="108">
                  <c:v>20.90657</c:v>
                </c:pt>
                <c:pt idx="109">
                  <c:v>30.05218</c:v>
                </c:pt>
                <c:pt idx="110">
                  <c:v>29.92056</c:v>
                </c:pt>
                <c:pt idx="111">
                  <c:v>22.54562</c:v>
                </c:pt>
                <c:pt idx="112">
                  <c:v>19.8288</c:v>
                </c:pt>
                <c:pt idx="113">
                  <c:v>27.2956</c:v>
                </c:pt>
                <c:pt idx="114">
                  <c:v>21.58316</c:v>
                </c:pt>
                <c:pt idx="115">
                  <c:v>26.58031</c:v>
                </c:pt>
                <c:pt idx="116">
                  <c:v>27.79644</c:v>
                </c:pt>
                <c:pt idx="117">
                  <c:v>24.10728</c:v>
                </c:pt>
                <c:pt idx="118">
                  <c:v>32.73758</c:v>
                </c:pt>
                <c:pt idx="119">
                  <c:v>25.40322</c:v>
                </c:pt>
                <c:pt idx="120">
                  <c:v>21.30099</c:v>
                </c:pt>
                <c:pt idx="121">
                  <c:v>23.86869</c:v>
                </c:pt>
                <c:pt idx="122">
                  <c:v>24.03157</c:v>
                </c:pt>
                <c:pt idx="123">
                  <c:v>21.52909</c:v>
                </c:pt>
                <c:pt idx="124">
                  <c:v>23.84483</c:v>
                </c:pt>
                <c:pt idx="125">
                  <c:v>24.84848</c:v>
                </c:pt>
                <c:pt idx="126">
                  <c:v>39.12845</c:v>
                </c:pt>
                <c:pt idx="127">
                  <c:v>21.31609</c:v>
                </c:pt>
                <c:pt idx="128">
                  <c:v>22.20649</c:v>
                </c:pt>
                <c:pt idx="129">
                  <c:v>25.49536</c:v>
                </c:pt>
                <c:pt idx="130">
                  <c:v>24.45156</c:v>
                </c:pt>
                <c:pt idx="131">
                  <c:v>23.09633</c:v>
                </c:pt>
                <c:pt idx="132">
                  <c:v>23.0281</c:v>
                </c:pt>
                <c:pt idx="133">
                  <c:v>23.99673</c:v>
                </c:pt>
                <c:pt idx="134">
                  <c:v>30.1217</c:v>
                </c:pt>
                <c:pt idx="135">
                  <c:v>22.58865</c:v>
                </c:pt>
                <c:pt idx="136">
                  <c:v>27.63081</c:v>
                </c:pt>
                <c:pt idx="137">
                  <c:v>30.77432</c:v>
                </c:pt>
                <c:pt idx="138">
                  <c:v>20.61141</c:v>
                </c:pt>
                <c:pt idx="139">
                  <c:v>21.84786</c:v>
                </c:pt>
                <c:pt idx="140">
                  <c:v>28.8</c:v>
                </c:pt>
                <c:pt idx="141">
                  <c:v>27.71069</c:v>
                </c:pt>
                <c:pt idx="142">
                  <c:v>24.43215</c:v>
                </c:pt>
                <c:pt idx="143">
                  <c:v>20.01281</c:v>
                </c:pt>
                <c:pt idx="144">
                  <c:v>30.99057</c:v>
                </c:pt>
                <c:pt idx="145">
                  <c:v>27.58838</c:v>
                </c:pt>
                <c:pt idx="146">
                  <c:v>24.83109</c:v>
                </c:pt>
                <c:pt idx="147">
                  <c:v>22.44898</c:v>
                </c:pt>
                <c:pt idx="148">
                  <c:v>22.05825</c:v>
                </c:pt>
                <c:pt idx="149">
                  <c:v>22.21737</c:v>
                </c:pt>
                <c:pt idx="150">
                  <c:v>26.88898</c:v>
                </c:pt>
                <c:pt idx="151">
                  <c:v>19.38588</c:v>
                </c:pt>
                <c:pt idx="152">
                  <c:v>24.30364</c:v>
                </c:pt>
                <c:pt idx="153">
                  <c:v>26.43043</c:v>
                </c:pt>
                <c:pt idx="154">
                  <c:v>30.16414</c:v>
                </c:pt>
                <c:pt idx="155">
                  <c:v>19.45657</c:v>
                </c:pt>
                <c:pt idx="156">
                  <c:v>30.51639</c:v>
                </c:pt>
                <c:pt idx="157">
                  <c:v>35.88356</c:v>
                </c:pt>
                <c:pt idx="158">
                  <c:v>24.78799</c:v>
                </c:pt>
                <c:pt idx="159">
                  <c:v>19.50211</c:v>
                </c:pt>
                <c:pt idx="160">
                  <c:v>26.49215</c:v>
                </c:pt>
                <c:pt idx="161">
                  <c:v>21.05894</c:v>
                </c:pt>
                <c:pt idx="162">
                  <c:v>25.77336</c:v>
                </c:pt>
                <c:pt idx="163">
                  <c:v>26.51406</c:v>
                </c:pt>
                <c:pt idx="164">
                  <c:v>18.71728</c:v>
                </c:pt>
                <c:pt idx="165">
                  <c:v>26.08091</c:v>
                </c:pt>
                <c:pt idx="166">
                  <c:v>22.61365</c:v>
                </c:pt>
                <c:pt idx="167">
                  <c:v>22.84861</c:v>
                </c:pt>
                <c:pt idx="168">
                  <c:v>23.49294</c:v>
                </c:pt>
                <c:pt idx="169">
                  <c:v>28.28751</c:v>
                </c:pt>
                <c:pt idx="170">
                  <c:v>27.25182</c:v>
                </c:pt>
                <c:pt idx="171">
                  <c:v>28.71632</c:v>
                </c:pt>
                <c:pt idx="172">
                  <c:v>26.93676</c:v>
                </c:pt>
                <c:pt idx="173">
                  <c:v>28.00837</c:v>
                </c:pt>
                <c:pt idx="174">
                  <c:v>29.73565</c:v>
                </c:pt>
                <c:pt idx="175">
                  <c:v>21.06614</c:v>
                </c:pt>
                <c:pt idx="176">
                  <c:v>23.1635</c:v>
                </c:pt>
                <c:pt idx="177">
                  <c:v>20.08118</c:v>
                </c:pt>
                <c:pt idx="178">
                  <c:v>22.13262</c:v>
                </c:pt>
                <c:pt idx="179">
                  <c:v>24.34746</c:v>
                </c:pt>
                <c:pt idx="180">
                  <c:v>20.86572</c:v>
                </c:pt>
                <c:pt idx="181">
                  <c:v>23.86683</c:v>
                </c:pt>
                <c:pt idx="182">
                  <c:v>26.19205</c:v>
                </c:pt>
                <c:pt idx="183">
                  <c:v>26.36682</c:v>
                </c:pt>
              </c:numCache>
            </c:numRef>
          </c:yVal>
        </c:ser>
        <c:axId val="565689416"/>
        <c:axId val="566194408"/>
      </c:scatterChart>
      <c:valAx>
        <c:axId val="56568941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Alpha</a:t>
                </a:r>
              </a:p>
            </c:rich>
          </c:tx>
        </c:title>
        <c:numFmt formatCode="General" sourceLinked="1"/>
        <c:tickLblPos val="nextTo"/>
        <c:crossAx val="566194408"/>
        <c:crosses val="autoZero"/>
        <c:crossBetween val="midCat"/>
      </c:valAx>
      <c:valAx>
        <c:axId val="566194408"/>
        <c:scaling>
          <c:orientation val="minMax"/>
          <c:min val="15.0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Average Travel Time</a:t>
                </a:r>
              </a:p>
            </c:rich>
          </c:tx>
        </c:title>
        <c:numFmt formatCode="General" sourceLinked="1"/>
        <c:tickLblPos val="nextTo"/>
        <c:crossAx val="565689416"/>
        <c:crosses val="autoZero"/>
        <c:crossBetween val="midCat"/>
      </c:valAx>
    </c:plotArea>
    <c:plotVisOnly val="1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US"/>
  <c:style val="12"/>
  <c:chart>
    <c:title>
      <c:tx>
        <c:rich>
          <a:bodyPr/>
          <a:lstStyle/>
          <a:p>
            <a:pPr>
              <a:defRPr/>
            </a:pPr>
            <a:r>
              <a:rPr lang="en-US"/>
              <a:t>Average Travel Time (min) vs. Beta measure</a:t>
            </a:r>
          </a:p>
        </c:rich>
      </c:tx>
    </c:title>
    <c:plotArea>
      <c:layout/>
      <c:scatterChart>
        <c:scatterStyle val="lineMarker"/>
        <c:ser>
          <c:idx val="0"/>
          <c:order val="0"/>
          <c:tx>
            <c:strRef>
              <c:f>StataData!$BI$1</c:f>
              <c:strCache>
                <c:ptCount val="1"/>
                <c:pt idx="0">
                  <c:v>avg_tt</c:v>
                </c:pt>
              </c:strCache>
            </c:strRef>
          </c:tx>
          <c:spPr>
            <a:ln w="47625">
              <a:noFill/>
            </a:ln>
          </c:spPr>
          <c:marker>
            <c:symbol val="circle"/>
            <c:size val="6"/>
          </c:marker>
          <c:trendline>
            <c:trendlineType val="linear"/>
            <c:dispRSqr val="1"/>
            <c:dispEq val="1"/>
            <c:trendlineLbl>
              <c:layout>
                <c:manualLayout>
                  <c:x val="0.0272678915135608"/>
                  <c:y val="0.0618392590888624"/>
                </c:manualLayout>
              </c:layout>
              <c:numFmt formatCode="General" sourceLinked="0"/>
            </c:trendlineLbl>
          </c:trendline>
          <c:xVal>
            <c:numRef>
              <c:f>StataData!$S$2:$S$185</c:f>
              <c:numCache>
                <c:formatCode>General</c:formatCode>
                <c:ptCount val="184"/>
                <c:pt idx="0">
                  <c:v>1.126437</c:v>
                </c:pt>
                <c:pt idx="1">
                  <c:v>1.287215</c:v>
                </c:pt>
                <c:pt idx="2">
                  <c:v>1.457912</c:v>
                </c:pt>
                <c:pt idx="3">
                  <c:v>1.251346</c:v>
                </c:pt>
                <c:pt idx="4">
                  <c:v>1.33691</c:v>
                </c:pt>
                <c:pt idx="5">
                  <c:v>1.434483</c:v>
                </c:pt>
                <c:pt idx="6">
                  <c:v>1.00813</c:v>
                </c:pt>
                <c:pt idx="7">
                  <c:v>1.461847</c:v>
                </c:pt>
                <c:pt idx="8">
                  <c:v>1.2</c:v>
                </c:pt>
                <c:pt idx="9">
                  <c:v>1.073395</c:v>
                </c:pt>
                <c:pt idx="10">
                  <c:v>1.16129</c:v>
                </c:pt>
                <c:pt idx="11">
                  <c:v>1.24</c:v>
                </c:pt>
                <c:pt idx="12">
                  <c:v>1.361952</c:v>
                </c:pt>
                <c:pt idx="13">
                  <c:v>1.202899</c:v>
                </c:pt>
                <c:pt idx="14">
                  <c:v>1.404814</c:v>
                </c:pt>
                <c:pt idx="15">
                  <c:v>1.520979</c:v>
                </c:pt>
                <c:pt idx="16">
                  <c:v>1.347278</c:v>
                </c:pt>
                <c:pt idx="17">
                  <c:v>1.176471</c:v>
                </c:pt>
                <c:pt idx="18">
                  <c:v>1.27236</c:v>
                </c:pt>
                <c:pt idx="19">
                  <c:v>1.057692</c:v>
                </c:pt>
                <c:pt idx="20">
                  <c:v>1.169811</c:v>
                </c:pt>
                <c:pt idx="21">
                  <c:v>1.145594</c:v>
                </c:pt>
                <c:pt idx="22">
                  <c:v>1.231405</c:v>
                </c:pt>
                <c:pt idx="23">
                  <c:v>1.177305</c:v>
                </c:pt>
                <c:pt idx="24">
                  <c:v>1.275949</c:v>
                </c:pt>
                <c:pt idx="25">
                  <c:v>1.196733</c:v>
                </c:pt>
                <c:pt idx="26">
                  <c:v>1.241294</c:v>
                </c:pt>
                <c:pt idx="27">
                  <c:v>1.361538</c:v>
                </c:pt>
                <c:pt idx="28">
                  <c:v>1.153846</c:v>
                </c:pt>
                <c:pt idx="29">
                  <c:v>1.255556</c:v>
                </c:pt>
                <c:pt idx="30">
                  <c:v>1.629787</c:v>
                </c:pt>
                <c:pt idx="31">
                  <c:v>1.337823</c:v>
                </c:pt>
                <c:pt idx="32">
                  <c:v>1.132686</c:v>
                </c:pt>
                <c:pt idx="33">
                  <c:v>1.315022</c:v>
                </c:pt>
                <c:pt idx="34">
                  <c:v>1.195918</c:v>
                </c:pt>
                <c:pt idx="35">
                  <c:v>1.483784</c:v>
                </c:pt>
                <c:pt idx="36">
                  <c:v>1.085821</c:v>
                </c:pt>
                <c:pt idx="37">
                  <c:v>1.162393</c:v>
                </c:pt>
                <c:pt idx="38">
                  <c:v>1.206349</c:v>
                </c:pt>
                <c:pt idx="39">
                  <c:v>1.216867</c:v>
                </c:pt>
                <c:pt idx="40">
                  <c:v>1.171429</c:v>
                </c:pt>
                <c:pt idx="41">
                  <c:v>1.261364</c:v>
                </c:pt>
                <c:pt idx="42">
                  <c:v>1.25</c:v>
                </c:pt>
                <c:pt idx="43">
                  <c:v>1.210801</c:v>
                </c:pt>
                <c:pt idx="44">
                  <c:v>1.223404</c:v>
                </c:pt>
                <c:pt idx="45">
                  <c:v>1.420462</c:v>
                </c:pt>
                <c:pt idx="46">
                  <c:v>1.095238</c:v>
                </c:pt>
                <c:pt idx="47">
                  <c:v>1.191304</c:v>
                </c:pt>
                <c:pt idx="48">
                  <c:v>1.208054</c:v>
                </c:pt>
                <c:pt idx="49">
                  <c:v>1.299213</c:v>
                </c:pt>
                <c:pt idx="50">
                  <c:v>1.510204</c:v>
                </c:pt>
                <c:pt idx="51">
                  <c:v>1.373737</c:v>
                </c:pt>
                <c:pt idx="52">
                  <c:v>1.283934</c:v>
                </c:pt>
                <c:pt idx="53">
                  <c:v>1.446352</c:v>
                </c:pt>
                <c:pt idx="54">
                  <c:v>1.083333</c:v>
                </c:pt>
                <c:pt idx="55">
                  <c:v>1.458624</c:v>
                </c:pt>
                <c:pt idx="56">
                  <c:v>1.137255</c:v>
                </c:pt>
                <c:pt idx="57">
                  <c:v>1.088542</c:v>
                </c:pt>
                <c:pt idx="58">
                  <c:v>1.294118</c:v>
                </c:pt>
                <c:pt idx="59">
                  <c:v>1.084746</c:v>
                </c:pt>
                <c:pt idx="60">
                  <c:v>1.0</c:v>
                </c:pt>
                <c:pt idx="61">
                  <c:v>1.191571</c:v>
                </c:pt>
                <c:pt idx="62">
                  <c:v>1.266667</c:v>
                </c:pt>
                <c:pt idx="63">
                  <c:v>1.302326</c:v>
                </c:pt>
                <c:pt idx="64">
                  <c:v>1.150943</c:v>
                </c:pt>
                <c:pt idx="65">
                  <c:v>1.144231</c:v>
                </c:pt>
                <c:pt idx="66">
                  <c:v>1.04</c:v>
                </c:pt>
                <c:pt idx="67">
                  <c:v>1.070707</c:v>
                </c:pt>
                <c:pt idx="68">
                  <c:v>1.435862</c:v>
                </c:pt>
                <c:pt idx="69">
                  <c:v>1.245763</c:v>
                </c:pt>
                <c:pt idx="70">
                  <c:v>1.305556</c:v>
                </c:pt>
                <c:pt idx="71">
                  <c:v>1.122449</c:v>
                </c:pt>
                <c:pt idx="72">
                  <c:v>1.423445</c:v>
                </c:pt>
                <c:pt idx="73">
                  <c:v>1.259136</c:v>
                </c:pt>
                <c:pt idx="74">
                  <c:v>1.172662</c:v>
                </c:pt>
                <c:pt idx="75">
                  <c:v>1.284672</c:v>
                </c:pt>
                <c:pt idx="76">
                  <c:v>1.123595</c:v>
                </c:pt>
                <c:pt idx="77">
                  <c:v>1.304147</c:v>
                </c:pt>
                <c:pt idx="78">
                  <c:v>1.206587</c:v>
                </c:pt>
                <c:pt idx="79">
                  <c:v>1.470086</c:v>
                </c:pt>
                <c:pt idx="80">
                  <c:v>1.299363</c:v>
                </c:pt>
                <c:pt idx="81">
                  <c:v>1.096774</c:v>
                </c:pt>
                <c:pt idx="82">
                  <c:v>1.068493</c:v>
                </c:pt>
                <c:pt idx="83">
                  <c:v>1.273349</c:v>
                </c:pt>
                <c:pt idx="84">
                  <c:v>1.358974</c:v>
                </c:pt>
                <c:pt idx="85">
                  <c:v>1.566667</c:v>
                </c:pt>
                <c:pt idx="86">
                  <c:v>1.432432</c:v>
                </c:pt>
                <c:pt idx="87">
                  <c:v>1.229955</c:v>
                </c:pt>
                <c:pt idx="88">
                  <c:v>1.216495</c:v>
                </c:pt>
                <c:pt idx="89">
                  <c:v>1.294574</c:v>
                </c:pt>
                <c:pt idx="90">
                  <c:v>1.252525</c:v>
                </c:pt>
                <c:pt idx="91">
                  <c:v>1.30303</c:v>
                </c:pt>
                <c:pt idx="92">
                  <c:v>1.015152</c:v>
                </c:pt>
                <c:pt idx="93">
                  <c:v>1.262774</c:v>
                </c:pt>
                <c:pt idx="94">
                  <c:v>1.254881</c:v>
                </c:pt>
                <c:pt idx="95">
                  <c:v>1.317073</c:v>
                </c:pt>
                <c:pt idx="96">
                  <c:v>1.437163</c:v>
                </c:pt>
                <c:pt idx="97">
                  <c:v>1.170455</c:v>
                </c:pt>
                <c:pt idx="98">
                  <c:v>1.277778</c:v>
                </c:pt>
                <c:pt idx="99">
                  <c:v>1.098958</c:v>
                </c:pt>
                <c:pt idx="100">
                  <c:v>1.152542</c:v>
                </c:pt>
                <c:pt idx="101">
                  <c:v>1.0</c:v>
                </c:pt>
                <c:pt idx="102">
                  <c:v>1.114379</c:v>
                </c:pt>
                <c:pt idx="103">
                  <c:v>1.035088</c:v>
                </c:pt>
                <c:pt idx="104">
                  <c:v>1.277372</c:v>
                </c:pt>
                <c:pt idx="105">
                  <c:v>1.0</c:v>
                </c:pt>
                <c:pt idx="106">
                  <c:v>1.749406</c:v>
                </c:pt>
                <c:pt idx="107">
                  <c:v>1.177778</c:v>
                </c:pt>
                <c:pt idx="108">
                  <c:v>1.237273</c:v>
                </c:pt>
                <c:pt idx="109">
                  <c:v>1.078431</c:v>
                </c:pt>
                <c:pt idx="110">
                  <c:v>1.284585</c:v>
                </c:pt>
                <c:pt idx="111">
                  <c:v>1.529052</c:v>
                </c:pt>
                <c:pt idx="112">
                  <c:v>1.407132</c:v>
                </c:pt>
                <c:pt idx="113">
                  <c:v>1.0</c:v>
                </c:pt>
                <c:pt idx="114">
                  <c:v>1.359292</c:v>
                </c:pt>
                <c:pt idx="115">
                  <c:v>1.162791</c:v>
                </c:pt>
                <c:pt idx="116">
                  <c:v>1.135135</c:v>
                </c:pt>
                <c:pt idx="117">
                  <c:v>1.417647</c:v>
                </c:pt>
                <c:pt idx="118">
                  <c:v>1.143443</c:v>
                </c:pt>
                <c:pt idx="119">
                  <c:v>1.1875</c:v>
                </c:pt>
                <c:pt idx="120">
                  <c:v>1.391837</c:v>
                </c:pt>
                <c:pt idx="121">
                  <c:v>1.164706</c:v>
                </c:pt>
                <c:pt idx="122">
                  <c:v>1.165138</c:v>
                </c:pt>
                <c:pt idx="123">
                  <c:v>1.601036</c:v>
                </c:pt>
                <c:pt idx="124">
                  <c:v>1.018868</c:v>
                </c:pt>
                <c:pt idx="125">
                  <c:v>1.343374</c:v>
                </c:pt>
                <c:pt idx="126">
                  <c:v>1.21124</c:v>
                </c:pt>
                <c:pt idx="127">
                  <c:v>1.246575</c:v>
                </c:pt>
                <c:pt idx="128">
                  <c:v>1.361658</c:v>
                </c:pt>
                <c:pt idx="129">
                  <c:v>1.130872</c:v>
                </c:pt>
                <c:pt idx="130">
                  <c:v>1.642857</c:v>
                </c:pt>
                <c:pt idx="131">
                  <c:v>1.034483</c:v>
                </c:pt>
                <c:pt idx="132">
                  <c:v>1.224288</c:v>
                </c:pt>
                <c:pt idx="133">
                  <c:v>1.205298</c:v>
                </c:pt>
                <c:pt idx="134">
                  <c:v>1.254494</c:v>
                </c:pt>
                <c:pt idx="135">
                  <c:v>1.219512</c:v>
                </c:pt>
                <c:pt idx="136">
                  <c:v>1.074627</c:v>
                </c:pt>
                <c:pt idx="137">
                  <c:v>1.233333</c:v>
                </c:pt>
                <c:pt idx="138">
                  <c:v>1.690852</c:v>
                </c:pt>
                <c:pt idx="139">
                  <c:v>1.510917</c:v>
                </c:pt>
                <c:pt idx="140">
                  <c:v>1.142857</c:v>
                </c:pt>
                <c:pt idx="141">
                  <c:v>1.152778</c:v>
                </c:pt>
                <c:pt idx="142">
                  <c:v>1.30622</c:v>
                </c:pt>
                <c:pt idx="143">
                  <c:v>1.443503</c:v>
                </c:pt>
                <c:pt idx="144">
                  <c:v>1.100671</c:v>
                </c:pt>
                <c:pt idx="145">
                  <c:v>1.105263</c:v>
                </c:pt>
                <c:pt idx="146">
                  <c:v>1.238043</c:v>
                </c:pt>
                <c:pt idx="147">
                  <c:v>1.151515</c:v>
                </c:pt>
                <c:pt idx="148">
                  <c:v>1.363636</c:v>
                </c:pt>
                <c:pt idx="149">
                  <c:v>1.334115</c:v>
                </c:pt>
                <c:pt idx="150">
                  <c:v>1.225058</c:v>
                </c:pt>
                <c:pt idx="151">
                  <c:v>1.478261</c:v>
                </c:pt>
                <c:pt idx="152">
                  <c:v>1.50431</c:v>
                </c:pt>
                <c:pt idx="153">
                  <c:v>1.118143</c:v>
                </c:pt>
                <c:pt idx="154">
                  <c:v>1.05</c:v>
                </c:pt>
                <c:pt idx="155">
                  <c:v>1.675926</c:v>
                </c:pt>
                <c:pt idx="156">
                  <c:v>1.156626</c:v>
                </c:pt>
                <c:pt idx="157">
                  <c:v>1.180556</c:v>
                </c:pt>
                <c:pt idx="158">
                  <c:v>1.131148</c:v>
                </c:pt>
                <c:pt idx="159">
                  <c:v>1.490491</c:v>
                </c:pt>
                <c:pt idx="160">
                  <c:v>1.255319</c:v>
                </c:pt>
                <c:pt idx="161">
                  <c:v>1.665239</c:v>
                </c:pt>
                <c:pt idx="162">
                  <c:v>1.55814</c:v>
                </c:pt>
                <c:pt idx="163">
                  <c:v>1.052632</c:v>
                </c:pt>
                <c:pt idx="164">
                  <c:v>1.111111</c:v>
                </c:pt>
                <c:pt idx="165">
                  <c:v>1.171171</c:v>
                </c:pt>
                <c:pt idx="166">
                  <c:v>1.269418</c:v>
                </c:pt>
                <c:pt idx="167">
                  <c:v>1.139535</c:v>
                </c:pt>
                <c:pt idx="168">
                  <c:v>1.303922</c:v>
                </c:pt>
                <c:pt idx="169">
                  <c:v>1.168168</c:v>
                </c:pt>
                <c:pt idx="170">
                  <c:v>1.251295</c:v>
                </c:pt>
                <c:pt idx="171">
                  <c:v>1.020325</c:v>
                </c:pt>
                <c:pt idx="172">
                  <c:v>1.27451</c:v>
                </c:pt>
                <c:pt idx="173">
                  <c:v>1.259434</c:v>
                </c:pt>
                <c:pt idx="174">
                  <c:v>1.078534</c:v>
                </c:pt>
                <c:pt idx="175">
                  <c:v>1.35023</c:v>
                </c:pt>
                <c:pt idx="176">
                  <c:v>1.154185</c:v>
                </c:pt>
                <c:pt idx="177">
                  <c:v>1.559289</c:v>
                </c:pt>
                <c:pt idx="178">
                  <c:v>1.45933</c:v>
                </c:pt>
                <c:pt idx="179">
                  <c:v>1.304622</c:v>
                </c:pt>
                <c:pt idx="180">
                  <c:v>1.337838</c:v>
                </c:pt>
                <c:pt idx="181">
                  <c:v>1.24352</c:v>
                </c:pt>
                <c:pt idx="182">
                  <c:v>1.025</c:v>
                </c:pt>
                <c:pt idx="183">
                  <c:v>1.135678</c:v>
                </c:pt>
              </c:numCache>
            </c:numRef>
          </c:xVal>
          <c:yVal>
            <c:numRef>
              <c:f>StataData!$BI$2:$BI$185</c:f>
              <c:numCache>
                <c:formatCode>General</c:formatCode>
                <c:ptCount val="184"/>
                <c:pt idx="0">
                  <c:v>27.47931</c:v>
                </c:pt>
                <c:pt idx="1">
                  <c:v>30.44209</c:v>
                </c:pt>
                <c:pt idx="2">
                  <c:v>25.41279</c:v>
                </c:pt>
                <c:pt idx="3">
                  <c:v>23.84782</c:v>
                </c:pt>
                <c:pt idx="4">
                  <c:v>18.15101</c:v>
                </c:pt>
                <c:pt idx="5">
                  <c:v>18.35315</c:v>
                </c:pt>
                <c:pt idx="6">
                  <c:v>20.21851</c:v>
                </c:pt>
                <c:pt idx="7">
                  <c:v>24.47108</c:v>
                </c:pt>
                <c:pt idx="8">
                  <c:v>24.16176</c:v>
                </c:pt>
                <c:pt idx="9">
                  <c:v>24.102</c:v>
                </c:pt>
                <c:pt idx="10">
                  <c:v>32.66854</c:v>
                </c:pt>
                <c:pt idx="11">
                  <c:v>25.67901</c:v>
                </c:pt>
                <c:pt idx="12">
                  <c:v>26.5488</c:v>
                </c:pt>
                <c:pt idx="13">
                  <c:v>26.93548</c:v>
                </c:pt>
                <c:pt idx="14">
                  <c:v>20.19812</c:v>
                </c:pt>
                <c:pt idx="15">
                  <c:v>22.73826</c:v>
                </c:pt>
                <c:pt idx="16">
                  <c:v>23.86482</c:v>
                </c:pt>
                <c:pt idx="17">
                  <c:v>32.09904</c:v>
                </c:pt>
                <c:pt idx="18">
                  <c:v>22.38064</c:v>
                </c:pt>
                <c:pt idx="19">
                  <c:v>28.66876</c:v>
                </c:pt>
                <c:pt idx="20">
                  <c:v>28.00143</c:v>
                </c:pt>
                <c:pt idx="21">
                  <c:v>25.02558</c:v>
                </c:pt>
                <c:pt idx="22">
                  <c:v>29.93849</c:v>
                </c:pt>
                <c:pt idx="23">
                  <c:v>27.51105</c:v>
                </c:pt>
                <c:pt idx="24">
                  <c:v>28.16775</c:v>
                </c:pt>
                <c:pt idx="25">
                  <c:v>23.93929</c:v>
                </c:pt>
                <c:pt idx="26">
                  <c:v>24.35162</c:v>
                </c:pt>
                <c:pt idx="27">
                  <c:v>27.49502</c:v>
                </c:pt>
                <c:pt idx="28">
                  <c:v>38.22222</c:v>
                </c:pt>
                <c:pt idx="29">
                  <c:v>26.95971</c:v>
                </c:pt>
                <c:pt idx="30">
                  <c:v>20.84697</c:v>
                </c:pt>
                <c:pt idx="31">
                  <c:v>26.09281</c:v>
                </c:pt>
                <c:pt idx="32">
                  <c:v>27.95207</c:v>
                </c:pt>
                <c:pt idx="33">
                  <c:v>25.73387</c:v>
                </c:pt>
                <c:pt idx="34">
                  <c:v>24.1297</c:v>
                </c:pt>
                <c:pt idx="35">
                  <c:v>21.84362</c:v>
                </c:pt>
                <c:pt idx="36">
                  <c:v>27.63123</c:v>
                </c:pt>
                <c:pt idx="37">
                  <c:v>29.46672</c:v>
                </c:pt>
                <c:pt idx="38">
                  <c:v>27.60035</c:v>
                </c:pt>
                <c:pt idx="39">
                  <c:v>23.69565</c:v>
                </c:pt>
                <c:pt idx="40">
                  <c:v>25.08772</c:v>
                </c:pt>
                <c:pt idx="41">
                  <c:v>27.88026</c:v>
                </c:pt>
                <c:pt idx="42">
                  <c:v>22.37887</c:v>
                </c:pt>
                <c:pt idx="43">
                  <c:v>34.90987</c:v>
                </c:pt>
                <c:pt idx="44">
                  <c:v>20.72306</c:v>
                </c:pt>
                <c:pt idx="45">
                  <c:v>20.37152</c:v>
                </c:pt>
                <c:pt idx="46">
                  <c:v>27.50958</c:v>
                </c:pt>
                <c:pt idx="47">
                  <c:v>24.11932</c:v>
                </c:pt>
                <c:pt idx="48">
                  <c:v>23.94636</c:v>
                </c:pt>
                <c:pt idx="49">
                  <c:v>22.20345</c:v>
                </c:pt>
                <c:pt idx="50">
                  <c:v>19.07401</c:v>
                </c:pt>
                <c:pt idx="51">
                  <c:v>25.30614</c:v>
                </c:pt>
                <c:pt idx="52">
                  <c:v>26.28407</c:v>
                </c:pt>
                <c:pt idx="53">
                  <c:v>21.96902</c:v>
                </c:pt>
                <c:pt idx="54">
                  <c:v>18.95349</c:v>
                </c:pt>
                <c:pt idx="55">
                  <c:v>19.63996</c:v>
                </c:pt>
                <c:pt idx="56">
                  <c:v>25.14868</c:v>
                </c:pt>
                <c:pt idx="57">
                  <c:v>33.38107</c:v>
                </c:pt>
                <c:pt idx="58">
                  <c:v>25.90517</c:v>
                </c:pt>
                <c:pt idx="59">
                  <c:v>24.62466</c:v>
                </c:pt>
                <c:pt idx="60">
                  <c:v>24.01274</c:v>
                </c:pt>
                <c:pt idx="61">
                  <c:v>30.04026</c:v>
                </c:pt>
                <c:pt idx="62">
                  <c:v>25.49091</c:v>
                </c:pt>
                <c:pt idx="63">
                  <c:v>24.73684</c:v>
                </c:pt>
                <c:pt idx="64">
                  <c:v>26.98135</c:v>
                </c:pt>
                <c:pt idx="65">
                  <c:v>24.86667</c:v>
                </c:pt>
                <c:pt idx="66">
                  <c:v>29.43005</c:v>
                </c:pt>
                <c:pt idx="67">
                  <c:v>29.02719</c:v>
                </c:pt>
                <c:pt idx="68">
                  <c:v>21.96605</c:v>
                </c:pt>
                <c:pt idx="69">
                  <c:v>25.93662</c:v>
                </c:pt>
                <c:pt idx="70">
                  <c:v>30.61111</c:v>
                </c:pt>
                <c:pt idx="71">
                  <c:v>31.6826</c:v>
                </c:pt>
                <c:pt idx="72">
                  <c:v>20.11541</c:v>
                </c:pt>
                <c:pt idx="73">
                  <c:v>28.72535</c:v>
                </c:pt>
                <c:pt idx="74">
                  <c:v>29.11271</c:v>
                </c:pt>
                <c:pt idx="75">
                  <c:v>22.17776</c:v>
                </c:pt>
                <c:pt idx="76">
                  <c:v>21.94181</c:v>
                </c:pt>
                <c:pt idx="77">
                  <c:v>25.30848</c:v>
                </c:pt>
                <c:pt idx="78">
                  <c:v>23.13651</c:v>
                </c:pt>
                <c:pt idx="79">
                  <c:v>26.80159</c:v>
                </c:pt>
                <c:pt idx="80">
                  <c:v>24.27406</c:v>
                </c:pt>
                <c:pt idx="81">
                  <c:v>26.97143</c:v>
                </c:pt>
                <c:pt idx="82">
                  <c:v>23.64298</c:v>
                </c:pt>
                <c:pt idx="83">
                  <c:v>24.5927</c:v>
                </c:pt>
                <c:pt idx="84">
                  <c:v>24.70126</c:v>
                </c:pt>
                <c:pt idx="85">
                  <c:v>18.51195</c:v>
                </c:pt>
                <c:pt idx="86">
                  <c:v>21.90217</c:v>
                </c:pt>
                <c:pt idx="87">
                  <c:v>26.67302</c:v>
                </c:pt>
                <c:pt idx="88">
                  <c:v>32.90814</c:v>
                </c:pt>
                <c:pt idx="89">
                  <c:v>20.64633</c:v>
                </c:pt>
                <c:pt idx="90">
                  <c:v>23.6128</c:v>
                </c:pt>
                <c:pt idx="91">
                  <c:v>25.30449</c:v>
                </c:pt>
                <c:pt idx="92">
                  <c:v>21.91936</c:v>
                </c:pt>
                <c:pt idx="93">
                  <c:v>24.07095</c:v>
                </c:pt>
                <c:pt idx="94">
                  <c:v>25.53589</c:v>
                </c:pt>
                <c:pt idx="95">
                  <c:v>23.21131</c:v>
                </c:pt>
                <c:pt idx="96">
                  <c:v>22.56123</c:v>
                </c:pt>
                <c:pt idx="97">
                  <c:v>29.4382</c:v>
                </c:pt>
                <c:pt idx="98">
                  <c:v>24.83421</c:v>
                </c:pt>
                <c:pt idx="99">
                  <c:v>30.63471</c:v>
                </c:pt>
                <c:pt idx="100">
                  <c:v>28.29268</c:v>
                </c:pt>
                <c:pt idx="101">
                  <c:v>20.181</c:v>
                </c:pt>
                <c:pt idx="102">
                  <c:v>24.9137</c:v>
                </c:pt>
                <c:pt idx="103">
                  <c:v>18.8961</c:v>
                </c:pt>
                <c:pt idx="104">
                  <c:v>19.30581</c:v>
                </c:pt>
                <c:pt idx="105">
                  <c:v>21.66667</c:v>
                </c:pt>
                <c:pt idx="106">
                  <c:v>21.72159</c:v>
                </c:pt>
                <c:pt idx="107">
                  <c:v>24.24731</c:v>
                </c:pt>
                <c:pt idx="108">
                  <c:v>20.90657</c:v>
                </c:pt>
                <c:pt idx="109">
                  <c:v>30.05218</c:v>
                </c:pt>
                <c:pt idx="110">
                  <c:v>29.92056</c:v>
                </c:pt>
                <c:pt idx="111">
                  <c:v>22.54562</c:v>
                </c:pt>
                <c:pt idx="112">
                  <c:v>19.8288</c:v>
                </c:pt>
                <c:pt idx="113">
                  <c:v>27.2956</c:v>
                </c:pt>
                <c:pt idx="114">
                  <c:v>21.58316</c:v>
                </c:pt>
                <c:pt idx="115">
                  <c:v>26.58031</c:v>
                </c:pt>
                <c:pt idx="116">
                  <c:v>27.79644</c:v>
                </c:pt>
                <c:pt idx="117">
                  <c:v>24.10728</c:v>
                </c:pt>
                <c:pt idx="118">
                  <c:v>32.73758</c:v>
                </c:pt>
                <c:pt idx="119">
                  <c:v>25.40322</c:v>
                </c:pt>
                <c:pt idx="120">
                  <c:v>21.30099</c:v>
                </c:pt>
                <c:pt idx="121">
                  <c:v>23.86869</c:v>
                </c:pt>
                <c:pt idx="122">
                  <c:v>24.03157</c:v>
                </c:pt>
                <c:pt idx="123">
                  <c:v>21.52909</c:v>
                </c:pt>
                <c:pt idx="124">
                  <c:v>23.84483</c:v>
                </c:pt>
                <c:pt idx="125">
                  <c:v>24.84848</c:v>
                </c:pt>
                <c:pt idx="126">
                  <c:v>39.12845</c:v>
                </c:pt>
                <c:pt idx="127">
                  <c:v>21.31609</c:v>
                </c:pt>
                <c:pt idx="128">
                  <c:v>22.20649</c:v>
                </c:pt>
                <c:pt idx="129">
                  <c:v>25.49536</c:v>
                </c:pt>
                <c:pt idx="130">
                  <c:v>24.45156</c:v>
                </c:pt>
                <c:pt idx="131">
                  <c:v>23.09633</c:v>
                </c:pt>
                <c:pt idx="132">
                  <c:v>23.0281</c:v>
                </c:pt>
                <c:pt idx="133">
                  <c:v>23.99673</c:v>
                </c:pt>
                <c:pt idx="134">
                  <c:v>30.1217</c:v>
                </c:pt>
                <c:pt idx="135">
                  <c:v>22.58865</c:v>
                </c:pt>
                <c:pt idx="136">
                  <c:v>27.63081</c:v>
                </c:pt>
                <c:pt idx="137">
                  <c:v>30.77432</c:v>
                </c:pt>
                <c:pt idx="138">
                  <c:v>20.61141</c:v>
                </c:pt>
                <c:pt idx="139">
                  <c:v>21.84786</c:v>
                </c:pt>
                <c:pt idx="140">
                  <c:v>28.8</c:v>
                </c:pt>
                <c:pt idx="141">
                  <c:v>27.71069</c:v>
                </c:pt>
                <c:pt idx="142">
                  <c:v>24.43215</c:v>
                </c:pt>
                <c:pt idx="143">
                  <c:v>20.01281</c:v>
                </c:pt>
                <c:pt idx="144">
                  <c:v>30.99057</c:v>
                </c:pt>
                <c:pt idx="145">
                  <c:v>27.58838</c:v>
                </c:pt>
                <c:pt idx="146">
                  <c:v>24.83109</c:v>
                </c:pt>
                <c:pt idx="147">
                  <c:v>22.44898</c:v>
                </c:pt>
                <c:pt idx="148">
                  <c:v>22.05825</c:v>
                </c:pt>
                <c:pt idx="149">
                  <c:v>22.21737</c:v>
                </c:pt>
                <c:pt idx="150">
                  <c:v>26.88898</c:v>
                </c:pt>
                <c:pt idx="151">
                  <c:v>19.38588</c:v>
                </c:pt>
                <c:pt idx="152">
                  <c:v>24.30364</c:v>
                </c:pt>
                <c:pt idx="153">
                  <c:v>26.43043</c:v>
                </c:pt>
                <c:pt idx="154">
                  <c:v>30.16414</c:v>
                </c:pt>
                <c:pt idx="155">
                  <c:v>19.45657</c:v>
                </c:pt>
                <c:pt idx="156">
                  <c:v>30.51639</c:v>
                </c:pt>
                <c:pt idx="157">
                  <c:v>35.88356</c:v>
                </c:pt>
                <c:pt idx="158">
                  <c:v>24.78799</c:v>
                </c:pt>
                <c:pt idx="159">
                  <c:v>19.50211</c:v>
                </c:pt>
                <c:pt idx="160">
                  <c:v>26.49215</c:v>
                </c:pt>
                <c:pt idx="161">
                  <c:v>21.05894</c:v>
                </c:pt>
                <c:pt idx="162">
                  <c:v>25.77336</c:v>
                </c:pt>
                <c:pt idx="163">
                  <c:v>26.51406</c:v>
                </c:pt>
                <c:pt idx="164">
                  <c:v>18.71728</c:v>
                </c:pt>
                <c:pt idx="165">
                  <c:v>26.08091</c:v>
                </c:pt>
                <c:pt idx="166">
                  <c:v>22.61365</c:v>
                </c:pt>
                <c:pt idx="167">
                  <c:v>22.84861</c:v>
                </c:pt>
                <c:pt idx="168">
                  <c:v>23.49294</c:v>
                </c:pt>
                <c:pt idx="169">
                  <c:v>28.28751</c:v>
                </c:pt>
                <c:pt idx="170">
                  <c:v>27.25182</c:v>
                </c:pt>
                <c:pt idx="171">
                  <c:v>28.71632</c:v>
                </c:pt>
                <c:pt idx="172">
                  <c:v>26.93676</c:v>
                </c:pt>
                <c:pt idx="173">
                  <c:v>28.00837</c:v>
                </c:pt>
                <c:pt idx="174">
                  <c:v>29.73565</c:v>
                </c:pt>
                <c:pt idx="175">
                  <c:v>21.06614</c:v>
                </c:pt>
                <c:pt idx="176">
                  <c:v>23.1635</c:v>
                </c:pt>
                <c:pt idx="177">
                  <c:v>20.08118</c:v>
                </c:pt>
                <c:pt idx="178">
                  <c:v>22.13262</c:v>
                </c:pt>
                <c:pt idx="179">
                  <c:v>24.34746</c:v>
                </c:pt>
                <c:pt idx="180">
                  <c:v>20.86572</c:v>
                </c:pt>
                <c:pt idx="181">
                  <c:v>23.86683</c:v>
                </c:pt>
                <c:pt idx="182">
                  <c:v>26.19205</c:v>
                </c:pt>
                <c:pt idx="183">
                  <c:v>26.36682</c:v>
                </c:pt>
              </c:numCache>
            </c:numRef>
          </c:yVal>
        </c:ser>
        <c:axId val="565409928"/>
        <c:axId val="565419272"/>
      </c:scatterChart>
      <c:valAx>
        <c:axId val="565409928"/>
        <c:scaling>
          <c:orientation val="minMax"/>
          <c:min val="0.9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Beta</a:t>
                </a:r>
              </a:p>
            </c:rich>
          </c:tx>
        </c:title>
        <c:numFmt formatCode="General" sourceLinked="1"/>
        <c:tickLblPos val="nextTo"/>
        <c:crossAx val="565419272"/>
        <c:crosses val="autoZero"/>
        <c:crossBetween val="midCat"/>
      </c:valAx>
      <c:valAx>
        <c:axId val="565419272"/>
        <c:scaling>
          <c:orientation val="minMax"/>
          <c:min val="15.0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Average Travel Time</a:t>
                </a:r>
              </a:p>
            </c:rich>
          </c:tx>
        </c:title>
        <c:numFmt formatCode="General" sourceLinked="1"/>
        <c:tickLblPos val="nextTo"/>
        <c:crossAx val="565409928"/>
        <c:crosses val="autoZero"/>
        <c:crossBetween val="midCat"/>
      </c:valAx>
    </c:plotArea>
    <c:plotVisOnly val="1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US"/>
  <c:style val="12"/>
  <c:chart>
    <c:title>
      <c:tx>
        <c:rich>
          <a:bodyPr/>
          <a:lstStyle/>
          <a:p>
            <a:pPr>
              <a:defRPr/>
            </a:pPr>
            <a:r>
              <a:rPr lang="en-US"/>
              <a:t>Average Travel Time (min) vs. Gamma measure</a:t>
            </a:r>
          </a:p>
        </c:rich>
      </c:tx>
    </c:title>
    <c:plotArea>
      <c:layout/>
      <c:scatterChart>
        <c:scatterStyle val="lineMarker"/>
        <c:ser>
          <c:idx val="0"/>
          <c:order val="0"/>
          <c:tx>
            <c:strRef>
              <c:f>StataData!$BI$1</c:f>
              <c:strCache>
                <c:ptCount val="1"/>
                <c:pt idx="0">
                  <c:v>avg_tt</c:v>
                </c:pt>
              </c:strCache>
            </c:strRef>
          </c:tx>
          <c:spPr>
            <a:ln w="47625">
              <a:noFill/>
            </a:ln>
          </c:spPr>
          <c:marker>
            <c:symbol val="circle"/>
            <c:size val="6"/>
          </c:marker>
          <c:trendline>
            <c:trendlineType val="linear"/>
            <c:dispRSqr val="1"/>
            <c:dispEq val="1"/>
            <c:trendlineLbl>
              <c:layout>
                <c:manualLayout>
                  <c:x val="0.0272750072907553"/>
                  <c:y val="0.0803147934324864"/>
                </c:manualLayout>
              </c:layout>
              <c:numFmt formatCode="General" sourceLinked="0"/>
            </c:trendlineLbl>
          </c:trendline>
          <c:xVal>
            <c:numRef>
              <c:f>StataData!$T$2:$T$185</c:f>
              <c:numCache>
                <c:formatCode>General</c:formatCode>
                <c:ptCount val="184"/>
                <c:pt idx="0">
                  <c:v>0.3783784</c:v>
                </c:pt>
                <c:pt idx="1">
                  <c:v>0.4298246</c:v>
                </c:pt>
                <c:pt idx="2">
                  <c:v>0.4876126</c:v>
                </c:pt>
                <c:pt idx="3">
                  <c:v>0.4176153</c:v>
                </c:pt>
                <c:pt idx="4">
                  <c:v>0.4475575</c:v>
                </c:pt>
                <c:pt idx="5">
                  <c:v>0.4848485</c:v>
                </c:pt>
                <c:pt idx="6">
                  <c:v>0.3415978</c:v>
                </c:pt>
                <c:pt idx="7">
                  <c:v>0.4912281</c:v>
                </c:pt>
                <c:pt idx="8">
                  <c:v>0.407767</c:v>
                </c:pt>
                <c:pt idx="9">
                  <c:v>0.3611111</c:v>
                </c:pt>
                <c:pt idx="10">
                  <c:v>0.4137931</c:v>
                </c:pt>
                <c:pt idx="11">
                  <c:v>0.4305556</c:v>
                </c:pt>
                <c:pt idx="12">
                  <c:v>0.4545455</c:v>
                </c:pt>
                <c:pt idx="13">
                  <c:v>0.4129353</c:v>
                </c:pt>
                <c:pt idx="14">
                  <c:v>0.4686131</c:v>
                </c:pt>
                <c:pt idx="15">
                  <c:v>0.5081776</c:v>
                </c:pt>
                <c:pt idx="16">
                  <c:v>0.449608</c:v>
                </c:pt>
                <c:pt idx="17">
                  <c:v>0.3954802</c:v>
                </c:pt>
                <c:pt idx="18">
                  <c:v>0.424549</c:v>
                </c:pt>
                <c:pt idx="19">
                  <c:v>0.3552971</c:v>
                </c:pt>
                <c:pt idx="20">
                  <c:v>0.3974359</c:v>
                </c:pt>
                <c:pt idx="21">
                  <c:v>0.3848134</c:v>
                </c:pt>
                <c:pt idx="22">
                  <c:v>0.417367</c:v>
                </c:pt>
                <c:pt idx="23">
                  <c:v>0.3980815</c:v>
                </c:pt>
                <c:pt idx="24">
                  <c:v>0.426396</c:v>
                </c:pt>
                <c:pt idx="25">
                  <c:v>0.3995043</c:v>
                </c:pt>
                <c:pt idx="26">
                  <c:v>0.4147964</c:v>
                </c:pt>
                <c:pt idx="27">
                  <c:v>0.4609375</c:v>
                </c:pt>
                <c:pt idx="28">
                  <c:v>0.4545455</c:v>
                </c:pt>
                <c:pt idx="29">
                  <c:v>0.4280303</c:v>
                </c:pt>
                <c:pt idx="30">
                  <c:v>0.545584</c:v>
                </c:pt>
                <c:pt idx="31">
                  <c:v>0.4464222</c:v>
                </c:pt>
                <c:pt idx="32">
                  <c:v>0.3800217</c:v>
                </c:pt>
                <c:pt idx="33">
                  <c:v>0.4393258</c:v>
                </c:pt>
                <c:pt idx="34">
                  <c:v>0.4019204</c:v>
                </c:pt>
                <c:pt idx="35">
                  <c:v>0.495935</c:v>
                </c:pt>
                <c:pt idx="36">
                  <c:v>0.3646617</c:v>
                </c:pt>
                <c:pt idx="37">
                  <c:v>0.3908046</c:v>
                </c:pt>
                <c:pt idx="38">
                  <c:v>0.4053333</c:v>
                </c:pt>
                <c:pt idx="39">
                  <c:v>0.4156379</c:v>
                </c:pt>
                <c:pt idx="40">
                  <c:v>0.3980583</c:v>
                </c:pt>
                <c:pt idx="41">
                  <c:v>0.4302326</c:v>
                </c:pt>
                <c:pt idx="42">
                  <c:v>0.4170243</c:v>
                </c:pt>
                <c:pt idx="43">
                  <c:v>0.4050117</c:v>
                </c:pt>
                <c:pt idx="44">
                  <c:v>0.4081962</c:v>
                </c:pt>
                <c:pt idx="45">
                  <c:v>0.4740787</c:v>
                </c:pt>
                <c:pt idx="46">
                  <c:v>0.3833333</c:v>
                </c:pt>
                <c:pt idx="47">
                  <c:v>0.4041298</c:v>
                </c:pt>
                <c:pt idx="48">
                  <c:v>0.4081633</c:v>
                </c:pt>
                <c:pt idx="49">
                  <c:v>0.44</c:v>
                </c:pt>
                <c:pt idx="50">
                  <c:v>0.5085911</c:v>
                </c:pt>
                <c:pt idx="51">
                  <c:v>0.4597701</c:v>
                </c:pt>
                <c:pt idx="52">
                  <c:v>0.4291667</c:v>
                </c:pt>
                <c:pt idx="53">
                  <c:v>0.4831541</c:v>
                </c:pt>
                <c:pt idx="54">
                  <c:v>0.3939394</c:v>
                </c:pt>
                <c:pt idx="55">
                  <c:v>0.4871795</c:v>
                </c:pt>
                <c:pt idx="56">
                  <c:v>0.3820817</c:v>
                </c:pt>
                <c:pt idx="57">
                  <c:v>0.3666667</c:v>
                </c:pt>
                <c:pt idx="58">
                  <c:v>0.4417671</c:v>
                </c:pt>
                <c:pt idx="59">
                  <c:v>0.374269</c:v>
                </c:pt>
                <c:pt idx="60">
                  <c:v>0.372549</c:v>
                </c:pt>
                <c:pt idx="61">
                  <c:v>0.3982074</c:v>
                </c:pt>
                <c:pt idx="62">
                  <c:v>0.452381</c:v>
                </c:pt>
                <c:pt idx="63">
                  <c:v>0.4552846</c:v>
                </c:pt>
                <c:pt idx="64">
                  <c:v>0.388535</c:v>
                </c:pt>
                <c:pt idx="65">
                  <c:v>0.3888889</c:v>
                </c:pt>
                <c:pt idx="66">
                  <c:v>0.3768116</c:v>
                </c:pt>
                <c:pt idx="67">
                  <c:v>0.3605442</c:v>
                </c:pt>
                <c:pt idx="68">
                  <c:v>0.4799447</c:v>
                </c:pt>
                <c:pt idx="69">
                  <c:v>0.4224138</c:v>
                </c:pt>
                <c:pt idx="70">
                  <c:v>0.4607843</c:v>
                </c:pt>
                <c:pt idx="71">
                  <c:v>0.3772291</c:v>
                </c:pt>
                <c:pt idx="72">
                  <c:v>0.4767628</c:v>
                </c:pt>
                <c:pt idx="73">
                  <c:v>0.4225195</c:v>
                </c:pt>
                <c:pt idx="74">
                  <c:v>0.3937198</c:v>
                </c:pt>
                <c:pt idx="75">
                  <c:v>0.4289196</c:v>
                </c:pt>
                <c:pt idx="76">
                  <c:v>0.3831418</c:v>
                </c:pt>
                <c:pt idx="77">
                  <c:v>0.4387597</c:v>
                </c:pt>
                <c:pt idx="78">
                  <c:v>0.4046185</c:v>
                </c:pt>
                <c:pt idx="79">
                  <c:v>0.4985507</c:v>
                </c:pt>
                <c:pt idx="80">
                  <c:v>0.4387097</c:v>
                </c:pt>
                <c:pt idx="81">
                  <c:v>0.3908046</c:v>
                </c:pt>
                <c:pt idx="82">
                  <c:v>0.359447</c:v>
                </c:pt>
                <c:pt idx="83">
                  <c:v>0.4249335</c:v>
                </c:pt>
                <c:pt idx="84">
                  <c:v>0.4774775</c:v>
                </c:pt>
                <c:pt idx="85">
                  <c:v>0.5402299</c:v>
                </c:pt>
                <c:pt idx="86">
                  <c:v>0.4907407</c:v>
                </c:pt>
                <c:pt idx="87">
                  <c:v>0.4112291</c:v>
                </c:pt>
                <c:pt idx="88">
                  <c:v>0.4083045</c:v>
                </c:pt>
                <c:pt idx="89">
                  <c:v>0.4348958</c:v>
                </c:pt>
                <c:pt idx="90">
                  <c:v>0.4261168</c:v>
                </c:pt>
                <c:pt idx="91">
                  <c:v>0.4623656</c:v>
                </c:pt>
                <c:pt idx="92">
                  <c:v>0.3435898</c:v>
                </c:pt>
                <c:pt idx="93">
                  <c:v>0.4229829</c:v>
                </c:pt>
                <c:pt idx="94">
                  <c:v>0.4187477</c:v>
                </c:pt>
                <c:pt idx="95">
                  <c:v>0.45</c:v>
                </c:pt>
                <c:pt idx="96">
                  <c:v>0.4797941</c:v>
                </c:pt>
                <c:pt idx="97">
                  <c:v>0.3992248</c:v>
                </c:pt>
                <c:pt idx="98">
                  <c:v>0.4339623</c:v>
                </c:pt>
                <c:pt idx="99">
                  <c:v>0.3701755</c:v>
                </c:pt>
                <c:pt idx="100">
                  <c:v>0.3976608</c:v>
                </c:pt>
                <c:pt idx="101">
                  <c:v>0.4166667</c:v>
                </c:pt>
                <c:pt idx="102">
                  <c:v>0.3739035</c:v>
                </c:pt>
                <c:pt idx="103">
                  <c:v>0.3575757</c:v>
                </c:pt>
                <c:pt idx="104">
                  <c:v>0.4270376</c:v>
                </c:pt>
                <c:pt idx="105">
                  <c:v>0.3809524</c:v>
                </c:pt>
                <c:pt idx="106">
                  <c:v>0.5832894</c:v>
                </c:pt>
                <c:pt idx="107">
                  <c:v>0.4108527</c:v>
                </c:pt>
                <c:pt idx="108">
                  <c:v>0.4127995</c:v>
                </c:pt>
                <c:pt idx="109">
                  <c:v>0.3618421</c:v>
                </c:pt>
                <c:pt idx="110">
                  <c:v>0.4298942</c:v>
                </c:pt>
                <c:pt idx="111">
                  <c:v>0.5128205</c:v>
                </c:pt>
                <c:pt idx="112">
                  <c:v>0.4704421</c:v>
                </c:pt>
                <c:pt idx="113">
                  <c:v>0.352381</c:v>
                </c:pt>
                <c:pt idx="114">
                  <c:v>0.4547069</c:v>
                </c:pt>
                <c:pt idx="115">
                  <c:v>0.4065041</c:v>
                </c:pt>
                <c:pt idx="116">
                  <c:v>0.3818182</c:v>
                </c:pt>
                <c:pt idx="117">
                  <c:v>0.4781746</c:v>
                </c:pt>
                <c:pt idx="118">
                  <c:v>0.3842975</c:v>
                </c:pt>
                <c:pt idx="119">
                  <c:v>0.452381</c:v>
                </c:pt>
                <c:pt idx="120">
                  <c:v>0.467764</c:v>
                </c:pt>
                <c:pt idx="121">
                  <c:v>0.3975904</c:v>
                </c:pt>
                <c:pt idx="122">
                  <c:v>0.3907692</c:v>
                </c:pt>
                <c:pt idx="123">
                  <c:v>0.5364583</c:v>
                </c:pt>
                <c:pt idx="124">
                  <c:v>0.3529412</c:v>
                </c:pt>
                <c:pt idx="125">
                  <c:v>0.453252</c:v>
                </c:pt>
                <c:pt idx="126">
                  <c:v>0.4053178</c:v>
                </c:pt>
                <c:pt idx="127">
                  <c:v>0.4193548</c:v>
                </c:pt>
                <c:pt idx="128">
                  <c:v>0.4548286</c:v>
                </c:pt>
                <c:pt idx="129">
                  <c:v>0.3782267</c:v>
                </c:pt>
                <c:pt idx="130">
                  <c:v>0.5564516</c:v>
                </c:pt>
                <c:pt idx="131">
                  <c:v>0.3571429</c:v>
                </c:pt>
                <c:pt idx="132">
                  <c:v>0.4084191</c:v>
                </c:pt>
                <c:pt idx="133">
                  <c:v>0.4028331</c:v>
                </c:pt>
                <c:pt idx="134">
                  <c:v>0.4189574</c:v>
                </c:pt>
                <c:pt idx="135">
                  <c:v>0.4273504</c:v>
                </c:pt>
                <c:pt idx="136">
                  <c:v>0.3692308</c:v>
                </c:pt>
                <c:pt idx="137">
                  <c:v>0.4180791</c:v>
                </c:pt>
                <c:pt idx="138">
                  <c:v>0.564805</c:v>
                </c:pt>
                <c:pt idx="139">
                  <c:v>0.5058479</c:v>
                </c:pt>
                <c:pt idx="140">
                  <c:v>0.4210526</c:v>
                </c:pt>
                <c:pt idx="141">
                  <c:v>0.3869464</c:v>
                </c:pt>
                <c:pt idx="142">
                  <c:v>0.4368</c:v>
                </c:pt>
                <c:pt idx="143">
                  <c:v>0.4820755</c:v>
                </c:pt>
                <c:pt idx="144">
                  <c:v>0.3718821</c:v>
                </c:pt>
                <c:pt idx="145">
                  <c:v>0.3723404</c:v>
                </c:pt>
                <c:pt idx="146">
                  <c:v>0.4135802</c:v>
                </c:pt>
                <c:pt idx="147">
                  <c:v>0.4086021</c:v>
                </c:pt>
                <c:pt idx="148">
                  <c:v>0.4554456</c:v>
                </c:pt>
                <c:pt idx="149">
                  <c:v>0.4457501</c:v>
                </c:pt>
                <c:pt idx="150">
                  <c:v>0.4102564</c:v>
                </c:pt>
                <c:pt idx="151">
                  <c:v>0.4942356</c:v>
                </c:pt>
                <c:pt idx="152">
                  <c:v>0.5057971</c:v>
                </c:pt>
                <c:pt idx="153">
                  <c:v>0.3758865</c:v>
                </c:pt>
                <c:pt idx="154">
                  <c:v>0.3589744</c:v>
                </c:pt>
                <c:pt idx="155">
                  <c:v>0.5638629</c:v>
                </c:pt>
                <c:pt idx="156">
                  <c:v>0.3950617</c:v>
                </c:pt>
                <c:pt idx="157">
                  <c:v>0.3962704</c:v>
                </c:pt>
                <c:pt idx="158">
                  <c:v>0.3898305</c:v>
                </c:pt>
                <c:pt idx="159">
                  <c:v>0.4976191</c:v>
                </c:pt>
                <c:pt idx="160">
                  <c:v>0.4370371</c:v>
                </c:pt>
                <c:pt idx="161">
                  <c:v>0.5552558</c:v>
                </c:pt>
                <c:pt idx="162">
                  <c:v>0.5242566</c:v>
                </c:pt>
                <c:pt idx="163">
                  <c:v>0.3546099</c:v>
                </c:pt>
                <c:pt idx="164">
                  <c:v>0.3875969</c:v>
                </c:pt>
                <c:pt idx="165">
                  <c:v>0.3975535</c:v>
                </c:pt>
                <c:pt idx="166">
                  <c:v>0.4252033</c:v>
                </c:pt>
                <c:pt idx="167">
                  <c:v>0.398374</c:v>
                </c:pt>
                <c:pt idx="168">
                  <c:v>0.4433333</c:v>
                </c:pt>
                <c:pt idx="169">
                  <c:v>0.3917422</c:v>
                </c:pt>
                <c:pt idx="170">
                  <c:v>0.4192708</c:v>
                </c:pt>
                <c:pt idx="171">
                  <c:v>0.3428962</c:v>
                </c:pt>
                <c:pt idx="172">
                  <c:v>0.4421769</c:v>
                </c:pt>
                <c:pt idx="173">
                  <c:v>0.4238095</c:v>
                </c:pt>
                <c:pt idx="174">
                  <c:v>0.3633157</c:v>
                </c:pt>
                <c:pt idx="175">
                  <c:v>0.4542636</c:v>
                </c:pt>
                <c:pt idx="176">
                  <c:v>0.3881482</c:v>
                </c:pt>
                <c:pt idx="177">
                  <c:v>0.5218254</c:v>
                </c:pt>
                <c:pt idx="178">
                  <c:v>0.4876099</c:v>
                </c:pt>
                <c:pt idx="179">
                  <c:v>0.4367089</c:v>
                </c:pt>
                <c:pt idx="180">
                  <c:v>0.4583333</c:v>
                </c:pt>
                <c:pt idx="181">
                  <c:v>0.414955</c:v>
                </c:pt>
                <c:pt idx="182">
                  <c:v>0.3596491</c:v>
                </c:pt>
                <c:pt idx="183">
                  <c:v>0.3824027</c:v>
                </c:pt>
              </c:numCache>
            </c:numRef>
          </c:xVal>
          <c:yVal>
            <c:numRef>
              <c:f>StataData!$BI$2:$BI$185</c:f>
              <c:numCache>
                <c:formatCode>General</c:formatCode>
                <c:ptCount val="184"/>
                <c:pt idx="0">
                  <c:v>27.47931</c:v>
                </c:pt>
                <c:pt idx="1">
                  <c:v>30.44209</c:v>
                </c:pt>
                <c:pt idx="2">
                  <c:v>25.41279</c:v>
                </c:pt>
                <c:pt idx="3">
                  <c:v>23.84782</c:v>
                </c:pt>
                <c:pt idx="4">
                  <c:v>18.15101</c:v>
                </c:pt>
                <c:pt idx="5">
                  <c:v>18.35315</c:v>
                </c:pt>
                <c:pt idx="6">
                  <c:v>20.21851</c:v>
                </c:pt>
                <c:pt idx="7">
                  <c:v>24.47108</c:v>
                </c:pt>
                <c:pt idx="8">
                  <c:v>24.16176</c:v>
                </c:pt>
                <c:pt idx="9">
                  <c:v>24.102</c:v>
                </c:pt>
                <c:pt idx="10">
                  <c:v>32.66854</c:v>
                </c:pt>
                <c:pt idx="11">
                  <c:v>25.67901</c:v>
                </c:pt>
                <c:pt idx="12">
                  <c:v>26.5488</c:v>
                </c:pt>
                <c:pt idx="13">
                  <c:v>26.93548</c:v>
                </c:pt>
                <c:pt idx="14">
                  <c:v>20.19812</c:v>
                </c:pt>
                <c:pt idx="15">
                  <c:v>22.73826</c:v>
                </c:pt>
                <c:pt idx="16">
                  <c:v>23.86482</c:v>
                </c:pt>
                <c:pt idx="17">
                  <c:v>32.09904</c:v>
                </c:pt>
                <c:pt idx="18">
                  <c:v>22.38064</c:v>
                </c:pt>
                <c:pt idx="19">
                  <c:v>28.66876</c:v>
                </c:pt>
                <c:pt idx="20">
                  <c:v>28.00143</c:v>
                </c:pt>
                <c:pt idx="21">
                  <c:v>25.02558</c:v>
                </c:pt>
                <c:pt idx="22">
                  <c:v>29.93849</c:v>
                </c:pt>
                <c:pt idx="23">
                  <c:v>27.51105</c:v>
                </c:pt>
                <c:pt idx="24">
                  <c:v>28.16775</c:v>
                </c:pt>
                <c:pt idx="25">
                  <c:v>23.93929</c:v>
                </c:pt>
                <c:pt idx="26">
                  <c:v>24.35162</c:v>
                </c:pt>
                <c:pt idx="27">
                  <c:v>27.49502</c:v>
                </c:pt>
                <c:pt idx="28">
                  <c:v>38.22222</c:v>
                </c:pt>
                <c:pt idx="29">
                  <c:v>26.95971</c:v>
                </c:pt>
                <c:pt idx="30">
                  <c:v>20.84697</c:v>
                </c:pt>
                <c:pt idx="31">
                  <c:v>26.09281</c:v>
                </c:pt>
                <c:pt idx="32">
                  <c:v>27.95207</c:v>
                </c:pt>
                <c:pt idx="33">
                  <c:v>25.73387</c:v>
                </c:pt>
                <c:pt idx="34">
                  <c:v>24.1297</c:v>
                </c:pt>
                <c:pt idx="35">
                  <c:v>21.84362</c:v>
                </c:pt>
                <c:pt idx="36">
                  <c:v>27.63123</c:v>
                </c:pt>
                <c:pt idx="37">
                  <c:v>29.46672</c:v>
                </c:pt>
                <c:pt idx="38">
                  <c:v>27.60035</c:v>
                </c:pt>
                <c:pt idx="39">
                  <c:v>23.69565</c:v>
                </c:pt>
                <c:pt idx="40">
                  <c:v>25.08772</c:v>
                </c:pt>
                <c:pt idx="41">
                  <c:v>27.88026</c:v>
                </c:pt>
                <c:pt idx="42">
                  <c:v>22.37887</c:v>
                </c:pt>
                <c:pt idx="43">
                  <c:v>34.90987</c:v>
                </c:pt>
                <c:pt idx="44">
                  <c:v>20.72306</c:v>
                </c:pt>
                <c:pt idx="45">
                  <c:v>20.37152</c:v>
                </c:pt>
                <c:pt idx="46">
                  <c:v>27.50958</c:v>
                </c:pt>
                <c:pt idx="47">
                  <c:v>24.11932</c:v>
                </c:pt>
                <c:pt idx="48">
                  <c:v>23.94636</c:v>
                </c:pt>
                <c:pt idx="49">
                  <c:v>22.20345</c:v>
                </c:pt>
                <c:pt idx="50">
                  <c:v>19.07401</c:v>
                </c:pt>
                <c:pt idx="51">
                  <c:v>25.30614</c:v>
                </c:pt>
                <c:pt idx="52">
                  <c:v>26.28407</c:v>
                </c:pt>
                <c:pt idx="53">
                  <c:v>21.96902</c:v>
                </c:pt>
                <c:pt idx="54">
                  <c:v>18.95349</c:v>
                </c:pt>
                <c:pt idx="55">
                  <c:v>19.63996</c:v>
                </c:pt>
                <c:pt idx="56">
                  <c:v>25.14868</c:v>
                </c:pt>
                <c:pt idx="57">
                  <c:v>33.38107</c:v>
                </c:pt>
                <c:pt idx="58">
                  <c:v>25.90517</c:v>
                </c:pt>
                <c:pt idx="59">
                  <c:v>24.62466</c:v>
                </c:pt>
                <c:pt idx="60">
                  <c:v>24.01274</c:v>
                </c:pt>
                <c:pt idx="61">
                  <c:v>30.04026</c:v>
                </c:pt>
                <c:pt idx="62">
                  <c:v>25.49091</c:v>
                </c:pt>
                <c:pt idx="63">
                  <c:v>24.73684</c:v>
                </c:pt>
                <c:pt idx="64">
                  <c:v>26.98135</c:v>
                </c:pt>
                <c:pt idx="65">
                  <c:v>24.86667</c:v>
                </c:pt>
                <c:pt idx="66">
                  <c:v>29.43005</c:v>
                </c:pt>
                <c:pt idx="67">
                  <c:v>29.02719</c:v>
                </c:pt>
                <c:pt idx="68">
                  <c:v>21.96605</c:v>
                </c:pt>
                <c:pt idx="69">
                  <c:v>25.93662</c:v>
                </c:pt>
                <c:pt idx="70">
                  <c:v>30.61111</c:v>
                </c:pt>
                <c:pt idx="71">
                  <c:v>31.6826</c:v>
                </c:pt>
                <c:pt idx="72">
                  <c:v>20.11541</c:v>
                </c:pt>
                <c:pt idx="73">
                  <c:v>28.72535</c:v>
                </c:pt>
                <c:pt idx="74">
                  <c:v>29.11271</c:v>
                </c:pt>
                <c:pt idx="75">
                  <c:v>22.17776</c:v>
                </c:pt>
                <c:pt idx="76">
                  <c:v>21.94181</c:v>
                </c:pt>
                <c:pt idx="77">
                  <c:v>25.30848</c:v>
                </c:pt>
                <c:pt idx="78">
                  <c:v>23.13651</c:v>
                </c:pt>
                <c:pt idx="79">
                  <c:v>26.80159</c:v>
                </c:pt>
                <c:pt idx="80">
                  <c:v>24.27406</c:v>
                </c:pt>
                <c:pt idx="81">
                  <c:v>26.97143</c:v>
                </c:pt>
                <c:pt idx="82">
                  <c:v>23.64298</c:v>
                </c:pt>
                <c:pt idx="83">
                  <c:v>24.5927</c:v>
                </c:pt>
                <c:pt idx="84">
                  <c:v>24.70126</c:v>
                </c:pt>
                <c:pt idx="85">
                  <c:v>18.51195</c:v>
                </c:pt>
                <c:pt idx="86">
                  <c:v>21.90217</c:v>
                </c:pt>
                <c:pt idx="87">
                  <c:v>26.67302</c:v>
                </c:pt>
                <c:pt idx="88">
                  <c:v>32.90814</c:v>
                </c:pt>
                <c:pt idx="89">
                  <c:v>20.64633</c:v>
                </c:pt>
                <c:pt idx="90">
                  <c:v>23.6128</c:v>
                </c:pt>
                <c:pt idx="91">
                  <c:v>25.30449</c:v>
                </c:pt>
                <c:pt idx="92">
                  <c:v>21.91936</c:v>
                </c:pt>
                <c:pt idx="93">
                  <c:v>24.07095</c:v>
                </c:pt>
                <c:pt idx="94">
                  <c:v>25.53589</c:v>
                </c:pt>
                <c:pt idx="95">
                  <c:v>23.21131</c:v>
                </c:pt>
                <c:pt idx="96">
                  <c:v>22.56123</c:v>
                </c:pt>
                <c:pt idx="97">
                  <c:v>29.4382</c:v>
                </c:pt>
                <c:pt idx="98">
                  <c:v>24.83421</c:v>
                </c:pt>
                <c:pt idx="99">
                  <c:v>30.63471</c:v>
                </c:pt>
                <c:pt idx="100">
                  <c:v>28.29268</c:v>
                </c:pt>
                <c:pt idx="101">
                  <c:v>20.181</c:v>
                </c:pt>
                <c:pt idx="102">
                  <c:v>24.9137</c:v>
                </c:pt>
                <c:pt idx="103">
                  <c:v>18.8961</c:v>
                </c:pt>
                <c:pt idx="104">
                  <c:v>19.30581</c:v>
                </c:pt>
                <c:pt idx="105">
                  <c:v>21.66667</c:v>
                </c:pt>
                <c:pt idx="106">
                  <c:v>21.72159</c:v>
                </c:pt>
                <c:pt idx="107">
                  <c:v>24.24731</c:v>
                </c:pt>
                <c:pt idx="108">
                  <c:v>20.90657</c:v>
                </c:pt>
                <c:pt idx="109">
                  <c:v>30.05218</c:v>
                </c:pt>
                <c:pt idx="110">
                  <c:v>29.92056</c:v>
                </c:pt>
                <c:pt idx="111">
                  <c:v>22.54562</c:v>
                </c:pt>
                <c:pt idx="112">
                  <c:v>19.8288</c:v>
                </c:pt>
                <c:pt idx="113">
                  <c:v>27.2956</c:v>
                </c:pt>
                <c:pt idx="114">
                  <c:v>21.58316</c:v>
                </c:pt>
                <c:pt idx="115">
                  <c:v>26.58031</c:v>
                </c:pt>
                <c:pt idx="116">
                  <c:v>27.79644</c:v>
                </c:pt>
                <c:pt idx="117">
                  <c:v>24.10728</c:v>
                </c:pt>
                <c:pt idx="118">
                  <c:v>32.73758</c:v>
                </c:pt>
                <c:pt idx="119">
                  <c:v>25.40322</c:v>
                </c:pt>
                <c:pt idx="120">
                  <c:v>21.30099</c:v>
                </c:pt>
                <c:pt idx="121">
                  <c:v>23.86869</c:v>
                </c:pt>
                <c:pt idx="122">
                  <c:v>24.03157</c:v>
                </c:pt>
                <c:pt idx="123">
                  <c:v>21.52909</c:v>
                </c:pt>
                <c:pt idx="124">
                  <c:v>23.84483</c:v>
                </c:pt>
                <c:pt idx="125">
                  <c:v>24.84848</c:v>
                </c:pt>
                <c:pt idx="126">
                  <c:v>39.12845</c:v>
                </c:pt>
                <c:pt idx="127">
                  <c:v>21.31609</c:v>
                </c:pt>
                <c:pt idx="128">
                  <c:v>22.20649</c:v>
                </c:pt>
                <c:pt idx="129">
                  <c:v>25.49536</c:v>
                </c:pt>
                <c:pt idx="130">
                  <c:v>24.45156</c:v>
                </c:pt>
                <c:pt idx="131">
                  <c:v>23.09633</c:v>
                </c:pt>
                <c:pt idx="132">
                  <c:v>23.0281</c:v>
                </c:pt>
                <c:pt idx="133">
                  <c:v>23.99673</c:v>
                </c:pt>
                <c:pt idx="134">
                  <c:v>30.1217</c:v>
                </c:pt>
                <c:pt idx="135">
                  <c:v>22.58865</c:v>
                </c:pt>
                <c:pt idx="136">
                  <c:v>27.63081</c:v>
                </c:pt>
                <c:pt idx="137">
                  <c:v>30.77432</c:v>
                </c:pt>
                <c:pt idx="138">
                  <c:v>20.61141</c:v>
                </c:pt>
                <c:pt idx="139">
                  <c:v>21.84786</c:v>
                </c:pt>
                <c:pt idx="140">
                  <c:v>28.8</c:v>
                </c:pt>
                <c:pt idx="141">
                  <c:v>27.71069</c:v>
                </c:pt>
                <c:pt idx="142">
                  <c:v>24.43215</c:v>
                </c:pt>
                <c:pt idx="143">
                  <c:v>20.01281</c:v>
                </c:pt>
                <c:pt idx="144">
                  <c:v>30.99057</c:v>
                </c:pt>
                <c:pt idx="145">
                  <c:v>27.58838</c:v>
                </c:pt>
                <c:pt idx="146">
                  <c:v>24.83109</c:v>
                </c:pt>
                <c:pt idx="147">
                  <c:v>22.44898</c:v>
                </c:pt>
                <c:pt idx="148">
                  <c:v>22.05825</c:v>
                </c:pt>
                <c:pt idx="149">
                  <c:v>22.21737</c:v>
                </c:pt>
                <c:pt idx="150">
                  <c:v>26.88898</c:v>
                </c:pt>
                <c:pt idx="151">
                  <c:v>19.38588</c:v>
                </c:pt>
                <c:pt idx="152">
                  <c:v>24.30364</c:v>
                </c:pt>
                <c:pt idx="153">
                  <c:v>26.43043</c:v>
                </c:pt>
                <c:pt idx="154">
                  <c:v>30.16414</c:v>
                </c:pt>
                <c:pt idx="155">
                  <c:v>19.45657</c:v>
                </c:pt>
                <c:pt idx="156">
                  <c:v>30.51639</c:v>
                </c:pt>
                <c:pt idx="157">
                  <c:v>35.88356</c:v>
                </c:pt>
                <c:pt idx="158">
                  <c:v>24.78799</c:v>
                </c:pt>
                <c:pt idx="159">
                  <c:v>19.50211</c:v>
                </c:pt>
                <c:pt idx="160">
                  <c:v>26.49215</c:v>
                </c:pt>
                <c:pt idx="161">
                  <c:v>21.05894</c:v>
                </c:pt>
                <c:pt idx="162">
                  <c:v>25.77336</c:v>
                </c:pt>
                <c:pt idx="163">
                  <c:v>26.51406</c:v>
                </c:pt>
                <c:pt idx="164">
                  <c:v>18.71728</c:v>
                </c:pt>
                <c:pt idx="165">
                  <c:v>26.08091</c:v>
                </c:pt>
                <c:pt idx="166">
                  <c:v>22.61365</c:v>
                </c:pt>
                <c:pt idx="167">
                  <c:v>22.84861</c:v>
                </c:pt>
                <c:pt idx="168">
                  <c:v>23.49294</c:v>
                </c:pt>
                <c:pt idx="169">
                  <c:v>28.28751</c:v>
                </c:pt>
                <c:pt idx="170">
                  <c:v>27.25182</c:v>
                </c:pt>
                <c:pt idx="171">
                  <c:v>28.71632</c:v>
                </c:pt>
                <c:pt idx="172">
                  <c:v>26.93676</c:v>
                </c:pt>
                <c:pt idx="173">
                  <c:v>28.00837</c:v>
                </c:pt>
                <c:pt idx="174">
                  <c:v>29.73565</c:v>
                </c:pt>
                <c:pt idx="175">
                  <c:v>21.06614</c:v>
                </c:pt>
                <c:pt idx="176">
                  <c:v>23.1635</c:v>
                </c:pt>
                <c:pt idx="177">
                  <c:v>20.08118</c:v>
                </c:pt>
                <c:pt idx="178">
                  <c:v>22.13262</c:v>
                </c:pt>
                <c:pt idx="179">
                  <c:v>24.34746</c:v>
                </c:pt>
                <c:pt idx="180">
                  <c:v>20.86572</c:v>
                </c:pt>
                <c:pt idx="181">
                  <c:v>23.86683</c:v>
                </c:pt>
                <c:pt idx="182">
                  <c:v>26.19205</c:v>
                </c:pt>
                <c:pt idx="183">
                  <c:v>26.36682</c:v>
                </c:pt>
              </c:numCache>
            </c:numRef>
          </c:yVal>
        </c:ser>
        <c:axId val="565458024"/>
        <c:axId val="565467368"/>
      </c:scatterChart>
      <c:valAx>
        <c:axId val="565458024"/>
        <c:scaling>
          <c:orientation val="minMax"/>
          <c:min val="0.3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Gamma</a:t>
                </a:r>
              </a:p>
            </c:rich>
          </c:tx>
        </c:title>
        <c:numFmt formatCode="General" sourceLinked="1"/>
        <c:tickLblPos val="nextTo"/>
        <c:crossAx val="565467368"/>
        <c:crosses val="autoZero"/>
        <c:crossBetween val="midCat"/>
      </c:valAx>
      <c:valAx>
        <c:axId val="565467368"/>
        <c:scaling>
          <c:orientation val="minMax"/>
          <c:min val="15.0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Average Travel Time</a:t>
                </a:r>
              </a:p>
            </c:rich>
          </c:tx>
        </c:title>
        <c:numFmt formatCode="General" sourceLinked="1"/>
        <c:tickLblPos val="nextTo"/>
        <c:crossAx val="565458024"/>
        <c:crosses val="autoZero"/>
        <c:crossBetween val="midCat"/>
      </c:valAx>
    </c:plotArea>
    <c:plotVisOnly val="1"/>
  </c:char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US"/>
  <c:style val="12"/>
  <c:chart>
    <c:title>
      <c:tx>
        <c:rich>
          <a:bodyPr/>
          <a:lstStyle/>
          <a:p>
            <a:pPr>
              <a:defRPr/>
            </a:pPr>
            <a:r>
              <a:rPr lang="en-US"/>
              <a:t>Average Travel Time (min) vs. Beta measure</a:t>
            </a:r>
          </a:p>
        </c:rich>
      </c:tx>
    </c:title>
    <c:plotArea>
      <c:layout/>
      <c:scatterChart>
        <c:scatterStyle val="lineMarker"/>
        <c:ser>
          <c:idx val="0"/>
          <c:order val="0"/>
          <c:tx>
            <c:strRef>
              <c:f>StataData!$BI$1</c:f>
              <c:strCache>
                <c:ptCount val="1"/>
                <c:pt idx="0">
                  <c:v>avg_tt</c:v>
                </c:pt>
              </c:strCache>
            </c:strRef>
          </c:tx>
          <c:spPr>
            <a:ln w="47625">
              <a:noFill/>
            </a:ln>
          </c:spPr>
          <c:marker>
            <c:symbol val="circle"/>
            <c:size val="6"/>
          </c:marker>
          <c:trendline>
            <c:trendlineType val="linear"/>
            <c:dispRSqr val="1"/>
            <c:dispEq val="1"/>
            <c:trendlineLbl>
              <c:layout>
                <c:manualLayout>
                  <c:x val="0.0272750072907553"/>
                  <c:y val="0.0803147934324864"/>
                </c:manualLayout>
              </c:layout>
              <c:numFmt formatCode="General" sourceLinked="0"/>
            </c:trendlineLbl>
          </c:trendline>
          <c:xVal>
            <c:numRef>
              <c:f>StataData!$U$2:$U$185</c:f>
              <c:numCache>
                <c:formatCode>General</c:formatCode>
                <c:ptCount val="184"/>
                <c:pt idx="0">
                  <c:v>0.4899587</c:v>
                </c:pt>
                <c:pt idx="1">
                  <c:v>0.2482119</c:v>
                </c:pt>
                <c:pt idx="2">
                  <c:v>0.1619584</c:v>
                </c:pt>
                <c:pt idx="3">
                  <c:v>0.1633612</c:v>
                </c:pt>
                <c:pt idx="4">
                  <c:v>0.2579015</c:v>
                </c:pt>
                <c:pt idx="5">
                  <c:v>0.1677622</c:v>
                </c:pt>
                <c:pt idx="6">
                  <c:v>0.3830038</c:v>
                </c:pt>
                <c:pt idx="7">
                  <c:v>0.1629161</c:v>
                </c:pt>
                <c:pt idx="8">
                  <c:v>1.115361</c:v>
                </c:pt>
                <c:pt idx="9">
                  <c:v>0.6125904</c:v>
                </c:pt>
                <c:pt idx="10">
                  <c:v>0.222189</c:v>
                </c:pt>
                <c:pt idx="11">
                  <c:v>0.1395922</c:v>
                </c:pt>
                <c:pt idx="12">
                  <c:v>0.2013153</c:v>
                </c:pt>
                <c:pt idx="13">
                  <c:v>1.071265</c:v>
                </c:pt>
                <c:pt idx="14">
                  <c:v>0.1837195</c:v>
                </c:pt>
                <c:pt idx="15">
                  <c:v>0.1684254</c:v>
                </c:pt>
                <c:pt idx="16">
                  <c:v>0.1958085</c:v>
                </c:pt>
                <c:pt idx="17">
                  <c:v>0.5559053</c:v>
                </c:pt>
                <c:pt idx="18">
                  <c:v>0.1809707</c:v>
                </c:pt>
                <c:pt idx="19">
                  <c:v>0.5625877</c:v>
                </c:pt>
                <c:pt idx="20">
                  <c:v>0.2431433</c:v>
                </c:pt>
                <c:pt idx="21">
                  <c:v>0.4855933</c:v>
                </c:pt>
                <c:pt idx="22">
                  <c:v>0.9330833</c:v>
                </c:pt>
                <c:pt idx="23">
                  <c:v>0.1817937</c:v>
                </c:pt>
                <c:pt idx="24">
                  <c:v>0.1655755</c:v>
                </c:pt>
                <c:pt idx="25">
                  <c:v>0.1740896</c:v>
                </c:pt>
                <c:pt idx="26">
                  <c:v>0.1802262</c:v>
                </c:pt>
                <c:pt idx="27">
                  <c:v>0.1946684</c:v>
                </c:pt>
                <c:pt idx="28">
                  <c:v>0.5088247</c:v>
                </c:pt>
                <c:pt idx="29">
                  <c:v>0.1394471</c:v>
                </c:pt>
                <c:pt idx="30">
                  <c:v>0.1515709</c:v>
                </c:pt>
                <c:pt idx="31">
                  <c:v>0.1789792</c:v>
                </c:pt>
                <c:pt idx="32">
                  <c:v>0.5191128</c:v>
                </c:pt>
                <c:pt idx="33">
                  <c:v>0.2512944</c:v>
                </c:pt>
                <c:pt idx="34">
                  <c:v>0.4216298</c:v>
                </c:pt>
                <c:pt idx="35">
                  <c:v>0.1537863</c:v>
                </c:pt>
                <c:pt idx="36">
                  <c:v>0.5350335</c:v>
                </c:pt>
                <c:pt idx="37">
                  <c:v>0.4099774</c:v>
                </c:pt>
                <c:pt idx="38">
                  <c:v>0.1643192</c:v>
                </c:pt>
                <c:pt idx="39">
                  <c:v>0.3210091</c:v>
                </c:pt>
                <c:pt idx="40">
                  <c:v>0.8162213</c:v>
                </c:pt>
                <c:pt idx="41">
                  <c:v>1.086033</c:v>
                </c:pt>
                <c:pt idx="42">
                  <c:v>0.1797862</c:v>
                </c:pt>
                <c:pt idx="43">
                  <c:v>0.3825859</c:v>
                </c:pt>
                <c:pt idx="44">
                  <c:v>0.1924462</c:v>
                </c:pt>
                <c:pt idx="45">
                  <c:v>0.1674343</c:v>
                </c:pt>
                <c:pt idx="46">
                  <c:v>0.2702379</c:v>
                </c:pt>
                <c:pt idx="47">
                  <c:v>0.8238385</c:v>
                </c:pt>
                <c:pt idx="48">
                  <c:v>0.7469509</c:v>
                </c:pt>
                <c:pt idx="49">
                  <c:v>0.1208659</c:v>
                </c:pt>
                <c:pt idx="50">
                  <c:v>0.1780273</c:v>
                </c:pt>
                <c:pt idx="51">
                  <c:v>0.1972429</c:v>
                </c:pt>
                <c:pt idx="52">
                  <c:v>0.2725034</c:v>
                </c:pt>
                <c:pt idx="53">
                  <c:v>0.1748625</c:v>
                </c:pt>
                <c:pt idx="54">
                  <c:v>0.3728148</c:v>
                </c:pt>
                <c:pt idx="55">
                  <c:v>0.1721673</c:v>
                </c:pt>
                <c:pt idx="56">
                  <c:v>0.5320497</c:v>
                </c:pt>
                <c:pt idx="57">
                  <c:v>0.5066936</c:v>
                </c:pt>
                <c:pt idx="58">
                  <c:v>0.9711087</c:v>
                </c:pt>
                <c:pt idx="59">
                  <c:v>0.1656089</c:v>
                </c:pt>
                <c:pt idx="60">
                  <c:v>0.6870254</c:v>
                </c:pt>
                <c:pt idx="61">
                  <c:v>0.285971</c:v>
                </c:pt>
                <c:pt idx="62">
                  <c:v>0.1390882</c:v>
                </c:pt>
                <c:pt idx="63">
                  <c:v>0.2429998</c:v>
                </c:pt>
                <c:pt idx="64">
                  <c:v>0.6681179</c:v>
                </c:pt>
                <c:pt idx="65">
                  <c:v>0.6646035</c:v>
                </c:pt>
                <c:pt idx="66">
                  <c:v>0.4062619</c:v>
                </c:pt>
                <c:pt idx="67">
                  <c:v>0.5190116</c:v>
                </c:pt>
                <c:pt idx="68">
                  <c:v>0.1613389</c:v>
                </c:pt>
                <c:pt idx="69">
                  <c:v>0.9227523</c:v>
                </c:pt>
                <c:pt idx="70">
                  <c:v>0.1219932</c:v>
                </c:pt>
                <c:pt idx="71">
                  <c:v>0.5758829</c:v>
                </c:pt>
                <c:pt idx="72">
                  <c:v>0.1626612</c:v>
                </c:pt>
                <c:pt idx="73">
                  <c:v>0.4635433</c:v>
                </c:pt>
                <c:pt idx="74">
                  <c:v>0.5290962</c:v>
                </c:pt>
                <c:pt idx="75">
                  <c:v>0.2180381</c:v>
                </c:pt>
                <c:pt idx="76">
                  <c:v>0.4031216</c:v>
                </c:pt>
                <c:pt idx="77">
                  <c:v>0.1685515</c:v>
                </c:pt>
                <c:pt idx="78">
                  <c:v>0.3923258</c:v>
                </c:pt>
                <c:pt idx="79">
                  <c:v>0.1228171</c:v>
                </c:pt>
                <c:pt idx="80">
                  <c:v>0.1730816</c:v>
                </c:pt>
                <c:pt idx="81">
                  <c:v>0.1993022</c:v>
                </c:pt>
                <c:pt idx="82">
                  <c:v>0.4930696</c:v>
                </c:pt>
                <c:pt idx="83">
                  <c:v>0.1959502</c:v>
                </c:pt>
                <c:pt idx="84">
                  <c:v>0.101103</c:v>
                </c:pt>
                <c:pt idx="85">
                  <c:v>0.1449923</c:v>
                </c:pt>
                <c:pt idx="86">
                  <c:v>0.214582</c:v>
                </c:pt>
                <c:pt idx="87">
                  <c:v>0.3073068</c:v>
                </c:pt>
                <c:pt idx="88">
                  <c:v>0.4164339</c:v>
                </c:pt>
                <c:pt idx="89">
                  <c:v>0.2539124</c:v>
                </c:pt>
                <c:pt idx="90">
                  <c:v>0.1758754</c:v>
                </c:pt>
                <c:pt idx="91">
                  <c:v>0.1612933</c:v>
                </c:pt>
                <c:pt idx="92">
                  <c:v>0.4070624</c:v>
                </c:pt>
                <c:pt idx="93">
                  <c:v>0.1553131</c:v>
                </c:pt>
                <c:pt idx="94">
                  <c:v>0.1972228</c:v>
                </c:pt>
                <c:pt idx="95">
                  <c:v>0.1845439</c:v>
                </c:pt>
                <c:pt idx="96">
                  <c:v>0.1897853</c:v>
                </c:pt>
                <c:pt idx="97">
                  <c:v>0.26052</c:v>
                </c:pt>
                <c:pt idx="98">
                  <c:v>0.9720382</c:v>
                </c:pt>
                <c:pt idx="99">
                  <c:v>0.6564994</c:v>
                </c:pt>
                <c:pt idx="100">
                  <c:v>0.1471273</c:v>
                </c:pt>
                <c:pt idx="101">
                  <c:v>0.260946</c:v>
                </c:pt>
                <c:pt idx="102">
                  <c:v>0.4222462</c:v>
                </c:pt>
                <c:pt idx="103">
                  <c:v>0.1118362</c:v>
                </c:pt>
                <c:pt idx="104">
                  <c:v>0.192509</c:v>
                </c:pt>
                <c:pt idx="105">
                  <c:v>0.3566432</c:v>
                </c:pt>
                <c:pt idx="106">
                  <c:v>0.1408899</c:v>
                </c:pt>
                <c:pt idx="107">
                  <c:v>0.2071696</c:v>
                </c:pt>
                <c:pt idx="108">
                  <c:v>0.1905039</c:v>
                </c:pt>
                <c:pt idx="109">
                  <c:v>0.437942</c:v>
                </c:pt>
                <c:pt idx="110">
                  <c:v>0.1235676</c:v>
                </c:pt>
                <c:pt idx="111">
                  <c:v>0.2022159</c:v>
                </c:pt>
                <c:pt idx="112">
                  <c:v>0.1706686</c:v>
                </c:pt>
                <c:pt idx="113">
                  <c:v>0.1895174</c:v>
                </c:pt>
                <c:pt idx="114">
                  <c:v>0.1728534</c:v>
                </c:pt>
                <c:pt idx="115">
                  <c:v>0.1834044</c:v>
                </c:pt>
                <c:pt idx="116">
                  <c:v>0.6216823</c:v>
                </c:pt>
                <c:pt idx="117">
                  <c:v>0.1542713</c:v>
                </c:pt>
                <c:pt idx="118">
                  <c:v>0.6035019</c:v>
                </c:pt>
                <c:pt idx="119">
                  <c:v>0.150295</c:v>
                </c:pt>
                <c:pt idx="120">
                  <c:v>0.1810163</c:v>
                </c:pt>
                <c:pt idx="121">
                  <c:v>0.6138306</c:v>
                </c:pt>
                <c:pt idx="122">
                  <c:v>0.2364106</c:v>
                </c:pt>
                <c:pt idx="123">
                  <c:v>0.1546426</c:v>
                </c:pt>
                <c:pt idx="124">
                  <c:v>0.1263701</c:v>
                </c:pt>
                <c:pt idx="125">
                  <c:v>0.1665404</c:v>
                </c:pt>
                <c:pt idx="126">
                  <c:v>0.3570831</c:v>
                </c:pt>
                <c:pt idx="127">
                  <c:v>0.2009094</c:v>
                </c:pt>
                <c:pt idx="128">
                  <c:v>0.1706872</c:v>
                </c:pt>
                <c:pt idx="129">
                  <c:v>0.260321</c:v>
                </c:pt>
                <c:pt idx="130">
                  <c:v>0.1312079</c:v>
                </c:pt>
                <c:pt idx="131">
                  <c:v>0.2234359</c:v>
                </c:pt>
                <c:pt idx="132">
                  <c:v>0.1827467</c:v>
                </c:pt>
                <c:pt idx="133">
                  <c:v>0.1947312</c:v>
                </c:pt>
                <c:pt idx="134">
                  <c:v>0.2361553</c:v>
                </c:pt>
                <c:pt idx="135">
                  <c:v>0.1988348</c:v>
                </c:pt>
                <c:pt idx="136">
                  <c:v>0.6180419</c:v>
                </c:pt>
                <c:pt idx="137">
                  <c:v>0.5822966</c:v>
                </c:pt>
                <c:pt idx="138">
                  <c:v>0.1529604</c:v>
                </c:pt>
                <c:pt idx="139">
                  <c:v>0.147764</c:v>
                </c:pt>
                <c:pt idx="140">
                  <c:v>0.228021</c:v>
                </c:pt>
                <c:pt idx="141">
                  <c:v>0.2175032</c:v>
                </c:pt>
                <c:pt idx="142">
                  <c:v>0.2828008</c:v>
                </c:pt>
                <c:pt idx="143">
                  <c:v>0.1945794</c:v>
                </c:pt>
                <c:pt idx="144">
                  <c:v>0.5704308</c:v>
                </c:pt>
                <c:pt idx="145">
                  <c:v>0.6293048</c:v>
                </c:pt>
                <c:pt idx="146">
                  <c:v>0.185347</c:v>
                </c:pt>
                <c:pt idx="147">
                  <c:v>1.431577</c:v>
                </c:pt>
                <c:pt idx="148">
                  <c:v>0.2031047</c:v>
                </c:pt>
                <c:pt idx="149">
                  <c:v>0.1888724</c:v>
                </c:pt>
                <c:pt idx="150">
                  <c:v>0.1914173</c:v>
                </c:pt>
                <c:pt idx="151">
                  <c:v>0.1498607</c:v>
                </c:pt>
                <c:pt idx="152">
                  <c:v>0.1783028</c:v>
                </c:pt>
                <c:pt idx="153">
                  <c:v>0.5788531</c:v>
                </c:pt>
                <c:pt idx="154">
                  <c:v>0.1227662</c:v>
                </c:pt>
                <c:pt idx="155">
                  <c:v>0.1701145</c:v>
                </c:pt>
                <c:pt idx="156">
                  <c:v>0.1930701</c:v>
                </c:pt>
                <c:pt idx="157">
                  <c:v>0.3812651</c:v>
                </c:pt>
                <c:pt idx="158">
                  <c:v>0.8218374</c:v>
                </c:pt>
                <c:pt idx="159">
                  <c:v>0.1570099</c:v>
                </c:pt>
                <c:pt idx="160">
                  <c:v>0.1392503</c:v>
                </c:pt>
                <c:pt idx="161">
                  <c:v>0.1446479</c:v>
                </c:pt>
                <c:pt idx="162">
                  <c:v>0.1722338</c:v>
                </c:pt>
                <c:pt idx="163">
                  <c:v>0.4885848</c:v>
                </c:pt>
                <c:pt idx="164">
                  <c:v>0.386451</c:v>
                </c:pt>
                <c:pt idx="165">
                  <c:v>0.1538612</c:v>
                </c:pt>
                <c:pt idx="166">
                  <c:v>0.2399595</c:v>
                </c:pt>
                <c:pt idx="167">
                  <c:v>0.1858793</c:v>
                </c:pt>
                <c:pt idx="168">
                  <c:v>1.002399</c:v>
                </c:pt>
                <c:pt idx="169">
                  <c:v>0.1956498</c:v>
                </c:pt>
                <c:pt idx="170">
                  <c:v>0.1370868</c:v>
                </c:pt>
                <c:pt idx="171">
                  <c:v>0.4837081</c:v>
                </c:pt>
                <c:pt idx="172">
                  <c:v>0.9451382</c:v>
                </c:pt>
                <c:pt idx="173">
                  <c:v>0.1332007</c:v>
                </c:pt>
                <c:pt idx="174">
                  <c:v>0.6507167</c:v>
                </c:pt>
                <c:pt idx="175">
                  <c:v>0.2123268</c:v>
                </c:pt>
                <c:pt idx="176">
                  <c:v>0.4077324</c:v>
                </c:pt>
                <c:pt idx="177">
                  <c:v>0.1635922</c:v>
                </c:pt>
                <c:pt idx="178">
                  <c:v>0.1618894</c:v>
                </c:pt>
                <c:pt idx="179">
                  <c:v>0.20924</c:v>
                </c:pt>
                <c:pt idx="180">
                  <c:v>0.0801476</c:v>
                </c:pt>
                <c:pt idx="181">
                  <c:v>0.187224</c:v>
                </c:pt>
                <c:pt idx="182">
                  <c:v>0.2006145</c:v>
                </c:pt>
                <c:pt idx="183">
                  <c:v>0.6602525</c:v>
                </c:pt>
              </c:numCache>
            </c:numRef>
          </c:xVal>
          <c:yVal>
            <c:numRef>
              <c:f>StataData!$BI$2:$BI$185</c:f>
              <c:numCache>
                <c:formatCode>General</c:formatCode>
                <c:ptCount val="184"/>
                <c:pt idx="0">
                  <c:v>27.47931</c:v>
                </c:pt>
                <c:pt idx="1">
                  <c:v>30.44209</c:v>
                </c:pt>
                <c:pt idx="2">
                  <c:v>25.41279</c:v>
                </c:pt>
                <c:pt idx="3">
                  <c:v>23.84782</c:v>
                </c:pt>
                <c:pt idx="4">
                  <c:v>18.15101</c:v>
                </c:pt>
                <c:pt idx="5">
                  <c:v>18.35315</c:v>
                </c:pt>
                <c:pt idx="6">
                  <c:v>20.21851</c:v>
                </c:pt>
                <c:pt idx="7">
                  <c:v>24.47108</c:v>
                </c:pt>
                <c:pt idx="8">
                  <c:v>24.16176</c:v>
                </c:pt>
                <c:pt idx="9">
                  <c:v>24.102</c:v>
                </c:pt>
                <c:pt idx="10">
                  <c:v>32.66854</c:v>
                </c:pt>
                <c:pt idx="11">
                  <c:v>25.67901</c:v>
                </c:pt>
                <c:pt idx="12">
                  <c:v>26.5488</c:v>
                </c:pt>
                <c:pt idx="13">
                  <c:v>26.93548</c:v>
                </c:pt>
                <c:pt idx="14">
                  <c:v>20.19812</c:v>
                </c:pt>
                <c:pt idx="15">
                  <c:v>22.73826</c:v>
                </c:pt>
                <c:pt idx="16">
                  <c:v>23.86482</c:v>
                </c:pt>
                <c:pt idx="17">
                  <c:v>32.09904</c:v>
                </c:pt>
                <c:pt idx="18">
                  <c:v>22.38064</c:v>
                </c:pt>
                <c:pt idx="19">
                  <c:v>28.66876</c:v>
                </c:pt>
                <c:pt idx="20">
                  <c:v>28.00143</c:v>
                </c:pt>
                <c:pt idx="21">
                  <c:v>25.02558</c:v>
                </c:pt>
                <c:pt idx="22">
                  <c:v>29.93849</c:v>
                </c:pt>
                <c:pt idx="23">
                  <c:v>27.51105</c:v>
                </c:pt>
                <c:pt idx="24">
                  <c:v>28.16775</c:v>
                </c:pt>
                <c:pt idx="25">
                  <c:v>23.93929</c:v>
                </c:pt>
                <c:pt idx="26">
                  <c:v>24.35162</c:v>
                </c:pt>
                <c:pt idx="27">
                  <c:v>27.49502</c:v>
                </c:pt>
                <c:pt idx="28">
                  <c:v>38.22222</c:v>
                </c:pt>
                <c:pt idx="29">
                  <c:v>26.95971</c:v>
                </c:pt>
                <c:pt idx="30">
                  <c:v>20.84697</c:v>
                </c:pt>
                <c:pt idx="31">
                  <c:v>26.09281</c:v>
                </c:pt>
                <c:pt idx="32">
                  <c:v>27.95207</c:v>
                </c:pt>
                <c:pt idx="33">
                  <c:v>25.73387</c:v>
                </c:pt>
                <c:pt idx="34">
                  <c:v>24.1297</c:v>
                </c:pt>
                <c:pt idx="35">
                  <c:v>21.84362</c:v>
                </c:pt>
                <c:pt idx="36">
                  <c:v>27.63123</c:v>
                </c:pt>
                <c:pt idx="37">
                  <c:v>29.46672</c:v>
                </c:pt>
                <c:pt idx="38">
                  <c:v>27.60035</c:v>
                </c:pt>
                <c:pt idx="39">
                  <c:v>23.69565</c:v>
                </c:pt>
                <c:pt idx="40">
                  <c:v>25.08772</c:v>
                </c:pt>
                <c:pt idx="41">
                  <c:v>27.88026</c:v>
                </c:pt>
                <c:pt idx="42">
                  <c:v>22.37887</c:v>
                </c:pt>
                <c:pt idx="43">
                  <c:v>34.90987</c:v>
                </c:pt>
                <c:pt idx="44">
                  <c:v>20.72306</c:v>
                </c:pt>
                <c:pt idx="45">
                  <c:v>20.37152</c:v>
                </c:pt>
                <c:pt idx="46">
                  <c:v>27.50958</c:v>
                </c:pt>
                <c:pt idx="47">
                  <c:v>24.11932</c:v>
                </c:pt>
                <c:pt idx="48">
                  <c:v>23.94636</c:v>
                </c:pt>
                <c:pt idx="49">
                  <c:v>22.20345</c:v>
                </c:pt>
                <c:pt idx="50">
                  <c:v>19.07401</c:v>
                </c:pt>
                <c:pt idx="51">
                  <c:v>25.30614</c:v>
                </c:pt>
                <c:pt idx="52">
                  <c:v>26.28407</c:v>
                </c:pt>
                <c:pt idx="53">
                  <c:v>21.96902</c:v>
                </c:pt>
                <c:pt idx="54">
                  <c:v>18.95349</c:v>
                </c:pt>
                <c:pt idx="55">
                  <c:v>19.63996</c:v>
                </c:pt>
                <c:pt idx="56">
                  <c:v>25.14868</c:v>
                </c:pt>
                <c:pt idx="57">
                  <c:v>33.38107</c:v>
                </c:pt>
                <c:pt idx="58">
                  <c:v>25.90517</c:v>
                </c:pt>
                <c:pt idx="59">
                  <c:v>24.62466</c:v>
                </c:pt>
                <c:pt idx="60">
                  <c:v>24.01274</c:v>
                </c:pt>
                <c:pt idx="61">
                  <c:v>30.04026</c:v>
                </c:pt>
                <c:pt idx="62">
                  <c:v>25.49091</c:v>
                </c:pt>
                <c:pt idx="63">
                  <c:v>24.73684</c:v>
                </c:pt>
                <c:pt idx="64">
                  <c:v>26.98135</c:v>
                </c:pt>
                <c:pt idx="65">
                  <c:v>24.86667</c:v>
                </c:pt>
                <c:pt idx="66">
                  <c:v>29.43005</c:v>
                </c:pt>
                <c:pt idx="67">
                  <c:v>29.02719</c:v>
                </c:pt>
                <c:pt idx="68">
                  <c:v>21.96605</c:v>
                </c:pt>
                <c:pt idx="69">
                  <c:v>25.93662</c:v>
                </c:pt>
                <c:pt idx="70">
                  <c:v>30.61111</c:v>
                </c:pt>
                <c:pt idx="71">
                  <c:v>31.6826</c:v>
                </c:pt>
                <c:pt idx="72">
                  <c:v>20.11541</c:v>
                </c:pt>
                <c:pt idx="73">
                  <c:v>28.72535</c:v>
                </c:pt>
                <c:pt idx="74">
                  <c:v>29.11271</c:v>
                </c:pt>
                <c:pt idx="75">
                  <c:v>22.17776</c:v>
                </c:pt>
                <c:pt idx="76">
                  <c:v>21.94181</c:v>
                </c:pt>
                <c:pt idx="77">
                  <c:v>25.30848</c:v>
                </c:pt>
                <c:pt idx="78">
                  <c:v>23.13651</c:v>
                </c:pt>
                <c:pt idx="79">
                  <c:v>26.80159</c:v>
                </c:pt>
                <c:pt idx="80">
                  <c:v>24.27406</c:v>
                </c:pt>
                <c:pt idx="81">
                  <c:v>26.97143</c:v>
                </c:pt>
                <c:pt idx="82">
                  <c:v>23.64298</c:v>
                </c:pt>
                <c:pt idx="83">
                  <c:v>24.5927</c:v>
                </c:pt>
                <c:pt idx="84">
                  <c:v>24.70126</c:v>
                </c:pt>
                <c:pt idx="85">
                  <c:v>18.51195</c:v>
                </c:pt>
                <c:pt idx="86">
                  <c:v>21.90217</c:v>
                </c:pt>
                <c:pt idx="87">
                  <c:v>26.67302</c:v>
                </c:pt>
                <c:pt idx="88">
                  <c:v>32.90814</c:v>
                </c:pt>
                <c:pt idx="89">
                  <c:v>20.64633</c:v>
                </c:pt>
                <c:pt idx="90">
                  <c:v>23.6128</c:v>
                </c:pt>
                <c:pt idx="91">
                  <c:v>25.30449</c:v>
                </c:pt>
                <c:pt idx="92">
                  <c:v>21.91936</c:v>
                </c:pt>
                <c:pt idx="93">
                  <c:v>24.07095</c:v>
                </c:pt>
                <c:pt idx="94">
                  <c:v>25.53589</c:v>
                </c:pt>
                <c:pt idx="95">
                  <c:v>23.21131</c:v>
                </c:pt>
                <c:pt idx="96">
                  <c:v>22.56123</c:v>
                </c:pt>
                <c:pt idx="97">
                  <c:v>29.4382</c:v>
                </c:pt>
                <c:pt idx="98">
                  <c:v>24.83421</c:v>
                </c:pt>
                <c:pt idx="99">
                  <c:v>30.63471</c:v>
                </c:pt>
                <c:pt idx="100">
                  <c:v>28.29268</c:v>
                </c:pt>
                <c:pt idx="101">
                  <c:v>20.181</c:v>
                </c:pt>
                <c:pt idx="102">
                  <c:v>24.9137</c:v>
                </c:pt>
                <c:pt idx="103">
                  <c:v>18.8961</c:v>
                </c:pt>
                <c:pt idx="104">
                  <c:v>19.30581</c:v>
                </c:pt>
                <c:pt idx="105">
                  <c:v>21.66667</c:v>
                </c:pt>
                <c:pt idx="106">
                  <c:v>21.72159</c:v>
                </c:pt>
                <c:pt idx="107">
                  <c:v>24.24731</c:v>
                </c:pt>
                <c:pt idx="108">
                  <c:v>20.90657</c:v>
                </c:pt>
                <c:pt idx="109">
                  <c:v>30.05218</c:v>
                </c:pt>
                <c:pt idx="110">
                  <c:v>29.92056</c:v>
                </c:pt>
                <c:pt idx="111">
                  <c:v>22.54562</c:v>
                </c:pt>
                <c:pt idx="112">
                  <c:v>19.8288</c:v>
                </c:pt>
                <c:pt idx="113">
                  <c:v>27.2956</c:v>
                </c:pt>
                <c:pt idx="114">
                  <c:v>21.58316</c:v>
                </c:pt>
                <c:pt idx="115">
                  <c:v>26.58031</c:v>
                </c:pt>
                <c:pt idx="116">
                  <c:v>27.79644</c:v>
                </c:pt>
                <c:pt idx="117">
                  <c:v>24.10728</c:v>
                </c:pt>
                <c:pt idx="118">
                  <c:v>32.73758</c:v>
                </c:pt>
                <c:pt idx="119">
                  <c:v>25.40322</c:v>
                </c:pt>
                <c:pt idx="120">
                  <c:v>21.30099</c:v>
                </c:pt>
                <c:pt idx="121">
                  <c:v>23.86869</c:v>
                </c:pt>
                <c:pt idx="122">
                  <c:v>24.03157</c:v>
                </c:pt>
                <c:pt idx="123">
                  <c:v>21.52909</c:v>
                </c:pt>
                <c:pt idx="124">
                  <c:v>23.84483</c:v>
                </c:pt>
                <c:pt idx="125">
                  <c:v>24.84848</c:v>
                </c:pt>
                <c:pt idx="126">
                  <c:v>39.12845</c:v>
                </c:pt>
                <c:pt idx="127">
                  <c:v>21.31609</c:v>
                </c:pt>
                <c:pt idx="128">
                  <c:v>22.20649</c:v>
                </c:pt>
                <c:pt idx="129">
                  <c:v>25.49536</c:v>
                </c:pt>
                <c:pt idx="130">
                  <c:v>24.45156</c:v>
                </c:pt>
                <c:pt idx="131">
                  <c:v>23.09633</c:v>
                </c:pt>
                <c:pt idx="132">
                  <c:v>23.0281</c:v>
                </c:pt>
                <c:pt idx="133">
                  <c:v>23.99673</c:v>
                </c:pt>
                <c:pt idx="134">
                  <c:v>30.1217</c:v>
                </c:pt>
                <c:pt idx="135">
                  <c:v>22.58865</c:v>
                </c:pt>
                <c:pt idx="136">
                  <c:v>27.63081</c:v>
                </c:pt>
                <c:pt idx="137">
                  <c:v>30.77432</c:v>
                </c:pt>
                <c:pt idx="138">
                  <c:v>20.61141</c:v>
                </c:pt>
                <c:pt idx="139">
                  <c:v>21.84786</c:v>
                </c:pt>
                <c:pt idx="140">
                  <c:v>28.8</c:v>
                </c:pt>
                <c:pt idx="141">
                  <c:v>27.71069</c:v>
                </c:pt>
                <c:pt idx="142">
                  <c:v>24.43215</c:v>
                </c:pt>
                <c:pt idx="143">
                  <c:v>20.01281</c:v>
                </c:pt>
                <c:pt idx="144">
                  <c:v>30.99057</c:v>
                </c:pt>
                <c:pt idx="145">
                  <c:v>27.58838</c:v>
                </c:pt>
                <c:pt idx="146">
                  <c:v>24.83109</c:v>
                </c:pt>
                <c:pt idx="147">
                  <c:v>22.44898</c:v>
                </c:pt>
                <c:pt idx="148">
                  <c:v>22.05825</c:v>
                </c:pt>
                <c:pt idx="149">
                  <c:v>22.21737</c:v>
                </c:pt>
                <c:pt idx="150">
                  <c:v>26.88898</c:v>
                </c:pt>
                <c:pt idx="151">
                  <c:v>19.38588</c:v>
                </c:pt>
                <c:pt idx="152">
                  <c:v>24.30364</c:v>
                </c:pt>
                <c:pt idx="153">
                  <c:v>26.43043</c:v>
                </c:pt>
                <c:pt idx="154">
                  <c:v>30.16414</c:v>
                </c:pt>
                <c:pt idx="155">
                  <c:v>19.45657</c:v>
                </c:pt>
                <c:pt idx="156">
                  <c:v>30.51639</c:v>
                </c:pt>
                <c:pt idx="157">
                  <c:v>35.88356</c:v>
                </c:pt>
                <c:pt idx="158">
                  <c:v>24.78799</c:v>
                </c:pt>
                <c:pt idx="159">
                  <c:v>19.50211</c:v>
                </c:pt>
                <c:pt idx="160">
                  <c:v>26.49215</c:v>
                </c:pt>
                <c:pt idx="161">
                  <c:v>21.05894</c:v>
                </c:pt>
                <c:pt idx="162">
                  <c:v>25.77336</c:v>
                </c:pt>
                <c:pt idx="163">
                  <c:v>26.51406</c:v>
                </c:pt>
                <c:pt idx="164">
                  <c:v>18.71728</c:v>
                </c:pt>
                <c:pt idx="165">
                  <c:v>26.08091</c:v>
                </c:pt>
                <c:pt idx="166">
                  <c:v>22.61365</c:v>
                </c:pt>
                <c:pt idx="167">
                  <c:v>22.84861</c:v>
                </c:pt>
                <c:pt idx="168">
                  <c:v>23.49294</c:v>
                </c:pt>
                <c:pt idx="169">
                  <c:v>28.28751</c:v>
                </c:pt>
                <c:pt idx="170">
                  <c:v>27.25182</c:v>
                </c:pt>
                <c:pt idx="171">
                  <c:v>28.71632</c:v>
                </c:pt>
                <c:pt idx="172">
                  <c:v>26.93676</c:v>
                </c:pt>
                <c:pt idx="173">
                  <c:v>28.00837</c:v>
                </c:pt>
                <c:pt idx="174">
                  <c:v>29.73565</c:v>
                </c:pt>
                <c:pt idx="175">
                  <c:v>21.06614</c:v>
                </c:pt>
                <c:pt idx="176">
                  <c:v>23.1635</c:v>
                </c:pt>
                <c:pt idx="177">
                  <c:v>20.08118</c:v>
                </c:pt>
                <c:pt idx="178">
                  <c:v>22.13262</c:v>
                </c:pt>
                <c:pt idx="179">
                  <c:v>24.34746</c:v>
                </c:pt>
                <c:pt idx="180">
                  <c:v>20.86572</c:v>
                </c:pt>
                <c:pt idx="181">
                  <c:v>23.86683</c:v>
                </c:pt>
                <c:pt idx="182">
                  <c:v>26.19205</c:v>
                </c:pt>
                <c:pt idx="183">
                  <c:v>26.36682</c:v>
                </c:pt>
              </c:numCache>
            </c:numRef>
          </c:yVal>
        </c:ser>
        <c:axId val="565505960"/>
        <c:axId val="565515304"/>
      </c:scatterChart>
      <c:valAx>
        <c:axId val="56550596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Beta</a:t>
                </a:r>
              </a:p>
            </c:rich>
          </c:tx>
        </c:title>
        <c:numFmt formatCode="General" sourceLinked="1"/>
        <c:tickLblPos val="nextTo"/>
        <c:crossAx val="565515304"/>
        <c:crosses val="autoZero"/>
        <c:crossBetween val="midCat"/>
      </c:valAx>
      <c:valAx>
        <c:axId val="565515304"/>
        <c:scaling>
          <c:orientation val="minMax"/>
          <c:min val="15.0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Average Travel Time</a:t>
                </a:r>
              </a:p>
            </c:rich>
          </c:tx>
        </c:title>
        <c:numFmt formatCode="General" sourceLinked="1"/>
        <c:tickLblPos val="nextTo"/>
        <c:crossAx val="565505960"/>
        <c:crosses val="autoZero"/>
        <c:crossBetween val="midCat"/>
      </c:valAx>
    </c:plotArea>
    <c:plotVisOnly val="1"/>
  </c:char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US"/>
  <c:style val="12"/>
  <c:chart>
    <c:title>
      <c:tx>
        <c:rich>
          <a:bodyPr/>
          <a:lstStyle/>
          <a:p>
            <a:pPr>
              <a:defRPr/>
            </a:pPr>
            <a:r>
              <a:rPr lang="en-US"/>
              <a:t>Average Travel Time (min) vs. Branchness measure</a:t>
            </a:r>
          </a:p>
        </c:rich>
      </c:tx>
    </c:title>
    <c:plotArea>
      <c:layout/>
      <c:scatterChart>
        <c:scatterStyle val="lineMarker"/>
        <c:ser>
          <c:idx val="0"/>
          <c:order val="0"/>
          <c:tx>
            <c:strRef>
              <c:f>StataData!$BI$1</c:f>
              <c:strCache>
                <c:ptCount val="1"/>
                <c:pt idx="0">
                  <c:v>avg_tt</c:v>
                </c:pt>
              </c:strCache>
            </c:strRef>
          </c:tx>
          <c:spPr>
            <a:ln w="47625">
              <a:noFill/>
            </a:ln>
          </c:spPr>
          <c:marker>
            <c:symbol val="circle"/>
            <c:size val="6"/>
          </c:marker>
          <c:trendline>
            <c:trendlineType val="linear"/>
            <c:dispRSqr val="1"/>
            <c:dispEq val="1"/>
            <c:trendlineLbl>
              <c:layout>
                <c:manualLayout>
                  <c:x val="0.0506708661417323"/>
                  <c:y val="-0.0408529157252922"/>
                </c:manualLayout>
              </c:layout>
              <c:numFmt formatCode="General" sourceLinked="0"/>
            </c:trendlineLbl>
          </c:trendline>
          <c:xVal>
            <c:numRef>
              <c:f>StataData!$V$2:$V$185</c:f>
              <c:numCache>
                <c:formatCode>General</c:formatCode>
                <c:ptCount val="184"/>
                <c:pt idx="0">
                  <c:v>0.3594256</c:v>
                </c:pt>
                <c:pt idx="1">
                  <c:v>0.1770647</c:v>
                </c:pt>
                <c:pt idx="2">
                  <c:v>0.1390972</c:v>
                </c:pt>
                <c:pt idx="3">
                  <c:v>0.2116656</c:v>
                </c:pt>
                <c:pt idx="4">
                  <c:v>0.1565084</c:v>
                </c:pt>
                <c:pt idx="5">
                  <c:v>0.2556535</c:v>
                </c:pt>
                <c:pt idx="6">
                  <c:v>0.600069</c:v>
                </c:pt>
                <c:pt idx="7">
                  <c:v>0.2566875</c:v>
                </c:pt>
                <c:pt idx="8">
                  <c:v>0.1950395</c:v>
                </c:pt>
                <c:pt idx="9">
                  <c:v>0.3579702</c:v>
                </c:pt>
                <c:pt idx="10">
                  <c:v>0.6261001</c:v>
                </c:pt>
                <c:pt idx="11">
                  <c:v>0.248531</c:v>
                </c:pt>
                <c:pt idx="12">
                  <c:v>0.1914283</c:v>
                </c:pt>
                <c:pt idx="13">
                  <c:v>0.1918219</c:v>
                </c:pt>
                <c:pt idx="14">
                  <c:v>0.1260429</c:v>
                </c:pt>
                <c:pt idx="15">
                  <c:v>0.0711027</c:v>
                </c:pt>
                <c:pt idx="16">
                  <c:v>0.1279031</c:v>
                </c:pt>
                <c:pt idx="17">
                  <c:v>0.2463206</c:v>
                </c:pt>
                <c:pt idx="18">
                  <c:v>0.2207203</c:v>
                </c:pt>
                <c:pt idx="19">
                  <c:v>0.3747434</c:v>
                </c:pt>
                <c:pt idx="20">
                  <c:v>0.6431491</c:v>
                </c:pt>
                <c:pt idx="21">
                  <c:v>0.2451651</c:v>
                </c:pt>
                <c:pt idx="22">
                  <c:v>0.2664583</c:v>
                </c:pt>
                <c:pt idx="23">
                  <c:v>0.3817437</c:v>
                </c:pt>
                <c:pt idx="24">
                  <c:v>0.1981488</c:v>
                </c:pt>
                <c:pt idx="25">
                  <c:v>0.3902869</c:v>
                </c:pt>
                <c:pt idx="26">
                  <c:v>0.3383421</c:v>
                </c:pt>
                <c:pt idx="27">
                  <c:v>0.1586759</c:v>
                </c:pt>
                <c:pt idx="28">
                  <c:v>0.6248727</c:v>
                </c:pt>
                <c:pt idx="29">
                  <c:v>0.3313808</c:v>
                </c:pt>
                <c:pt idx="30">
                  <c:v>0.0540627</c:v>
                </c:pt>
                <c:pt idx="31">
                  <c:v>0.1408715</c:v>
                </c:pt>
                <c:pt idx="32">
                  <c:v>0.3002366</c:v>
                </c:pt>
                <c:pt idx="33">
                  <c:v>0.2195766</c:v>
                </c:pt>
                <c:pt idx="34">
                  <c:v>0.3533636</c:v>
                </c:pt>
                <c:pt idx="35">
                  <c:v>0.1088607</c:v>
                </c:pt>
                <c:pt idx="36">
                  <c:v>0.3449766</c:v>
                </c:pt>
                <c:pt idx="37">
                  <c:v>0.3822333</c:v>
                </c:pt>
                <c:pt idx="38">
                  <c:v>0.4306508</c:v>
                </c:pt>
                <c:pt idx="39">
                  <c:v>0.4087738</c:v>
                </c:pt>
                <c:pt idx="40">
                  <c:v>0.2214207</c:v>
                </c:pt>
                <c:pt idx="41">
                  <c:v>0.1775787</c:v>
                </c:pt>
                <c:pt idx="42">
                  <c:v>0.2147491</c:v>
                </c:pt>
                <c:pt idx="43">
                  <c:v>0.3229515</c:v>
                </c:pt>
                <c:pt idx="44">
                  <c:v>0.2705879</c:v>
                </c:pt>
                <c:pt idx="45">
                  <c:v>0.1166418</c:v>
                </c:pt>
                <c:pt idx="46">
                  <c:v>0.6900897</c:v>
                </c:pt>
                <c:pt idx="47">
                  <c:v>0.2040727</c:v>
                </c:pt>
                <c:pt idx="48">
                  <c:v>0.2017851</c:v>
                </c:pt>
                <c:pt idx="49">
                  <c:v>0.2863615</c:v>
                </c:pt>
                <c:pt idx="50">
                  <c:v>0.0637661</c:v>
                </c:pt>
                <c:pt idx="51">
                  <c:v>0.1810657</c:v>
                </c:pt>
                <c:pt idx="52">
                  <c:v>0.3052076</c:v>
                </c:pt>
                <c:pt idx="53">
                  <c:v>0.1018853</c:v>
                </c:pt>
                <c:pt idx="54">
                  <c:v>0.1601789</c:v>
                </c:pt>
                <c:pt idx="55">
                  <c:v>0.104268</c:v>
                </c:pt>
                <c:pt idx="56">
                  <c:v>0.4039255</c:v>
                </c:pt>
                <c:pt idx="57">
                  <c:v>0.4892718</c:v>
                </c:pt>
                <c:pt idx="58">
                  <c:v>0.1596923</c:v>
                </c:pt>
                <c:pt idx="59">
                  <c:v>0.4393523</c:v>
                </c:pt>
                <c:pt idx="60">
                  <c:v>0.9152364</c:v>
                </c:pt>
                <c:pt idx="61">
                  <c:v>0.2983268</c:v>
                </c:pt>
                <c:pt idx="62">
                  <c:v>0.4235262</c:v>
                </c:pt>
                <c:pt idx="63">
                  <c:v>0.278416</c:v>
                </c:pt>
                <c:pt idx="64">
                  <c:v>0.3952238</c:v>
                </c:pt>
                <c:pt idx="65">
                  <c:v>0.1747989</c:v>
                </c:pt>
                <c:pt idx="66">
                  <c:v>0.7640301</c:v>
                </c:pt>
                <c:pt idx="67">
                  <c:v>0.4557906</c:v>
                </c:pt>
                <c:pt idx="68">
                  <c:v>0.1931634</c:v>
                </c:pt>
                <c:pt idx="69">
                  <c:v>0.1911284</c:v>
                </c:pt>
                <c:pt idx="70">
                  <c:v>0.295657</c:v>
                </c:pt>
                <c:pt idx="71">
                  <c:v>0.3028034</c:v>
                </c:pt>
                <c:pt idx="72">
                  <c:v>0.1850781</c:v>
                </c:pt>
                <c:pt idx="73">
                  <c:v>0.1876206</c:v>
                </c:pt>
                <c:pt idx="74">
                  <c:v>0.3114394</c:v>
                </c:pt>
                <c:pt idx="75">
                  <c:v>0.2248947</c:v>
                </c:pt>
                <c:pt idx="76">
                  <c:v>0.4524038</c:v>
                </c:pt>
                <c:pt idx="77">
                  <c:v>0.3065779</c:v>
                </c:pt>
                <c:pt idx="78">
                  <c:v>0.2078153</c:v>
                </c:pt>
                <c:pt idx="79">
                  <c:v>0.1468683</c:v>
                </c:pt>
                <c:pt idx="80">
                  <c:v>0.3494502</c:v>
                </c:pt>
                <c:pt idx="81">
                  <c:v>0.4960828</c:v>
                </c:pt>
                <c:pt idx="82">
                  <c:v>0.4750276</c:v>
                </c:pt>
                <c:pt idx="83">
                  <c:v>0.2027241</c:v>
                </c:pt>
                <c:pt idx="84">
                  <c:v>0.3156416</c:v>
                </c:pt>
                <c:pt idx="85">
                  <c:v>0.1076273</c:v>
                </c:pt>
                <c:pt idx="86">
                  <c:v>0.0732079</c:v>
                </c:pt>
                <c:pt idx="87">
                  <c:v>0.3064667</c:v>
                </c:pt>
                <c:pt idx="88">
                  <c:v>0.3936195</c:v>
                </c:pt>
                <c:pt idx="89">
                  <c:v>0.1964807</c:v>
                </c:pt>
                <c:pt idx="90">
                  <c:v>0.3330734</c:v>
                </c:pt>
                <c:pt idx="91">
                  <c:v>0.2747986</c:v>
                </c:pt>
                <c:pt idx="92">
                  <c:v>0.6034388</c:v>
                </c:pt>
                <c:pt idx="93">
                  <c:v>0.3001073</c:v>
                </c:pt>
                <c:pt idx="94">
                  <c:v>0.2082605</c:v>
                </c:pt>
                <c:pt idx="95">
                  <c:v>0.2615056</c:v>
                </c:pt>
                <c:pt idx="96">
                  <c:v>0.1267097</c:v>
                </c:pt>
                <c:pt idx="97">
                  <c:v>0.6728766</c:v>
                </c:pt>
                <c:pt idx="98">
                  <c:v>0.1365193</c:v>
                </c:pt>
                <c:pt idx="99">
                  <c:v>0.4140829</c:v>
                </c:pt>
                <c:pt idx="100">
                  <c:v>0.5080772</c:v>
                </c:pt>
                <c:pt idx="101">
                  <c:v>0.7690595</c:v>
                </c:pt>
                <c:pt idx="102">
                  <c:v>0.3825117</c:v>
                </c:pt>
                <c:pt idx="103">
                  <c:v>0.5130872</c:v>
                </c:pt>
                <c:pt idx="104">
                  <c:v>0.2020599</c:v>
                </c:pt>
                <c:pt idx="105">
                  <c:v>0.9052238</c:v>
                </c:pt>
                <c:pt idx="106">
                  <c:v>0.0298389</c:v>
                </c:pt>
                <c:pt idx="107">
                  <c:v>0.3801839</c:v>
                </c:pt>
                <c:pt idx="108">
                  <c:v>0.2476637</c:v>
                </c:pt>
                <c:pt idx="109">
                  <c:v>0.5374276</c:v>
                </c:pt>
                <c:pt idx="110">
                  <c:v>0.2529252</c:v>
                </c:pt>
                <c:pt idx="111">
                  <c:v>0.0712143</c:v>
                </c:pt>
                <c:pt idx="112">
                  <c:v>0.1426494</c:v>
                </c:pt>
                <c:pt idx="113">
                  <c:v>0.689553</c:v>
                </c:pt>
                <c:pt idx="114">
                  <c:v>0.1263804</c:v>
                </c:pt>
                <c:pt idx="115">
                  <c:v>0.5723824</c:v>
                </c:pt>
                <c:pt idx="116">
                  <c:v>0.3783973</c:v>
                </c:pt>
                <c:pt idx="117">
                  <c:v>0.1863534</c:v>
                </c:pt>
                <c:pt idx="118">
                  <c:v>0.3139039</c:v>
                </c:pt>
                <c:pt idx="119">
                  <c:v>0.51003</c:v>
                </c:pt>
                <c:pt idx="120">
                  <c:v>0.2823738</c:v>
                </c:pt>
                <c:pt idx="121">
                  <c:v>0.2934821</c:v>
                </c:pt>
                <c:pt idx="122">
                  <c:v>0.3206349</c:v>
                </c:pt>
                <c:pt idx="123">
                  <c:v>0.0694272</c:v>
                </c:pt>
                <c:pt idx="124">
                  <c:v>0.5681862</c:v>
                </c:pt>
                <c:pt idx="125">
                  <c:v>0.2459302</c:v>
                </c:pt>
                <c:pt idx="126">
                  <c:v>0.280422</c:v>
                </c:pt>
                <c:pt idx="127">
                  <c:v>0.289979</c:v>
                </c:pt>
                <c:pt idx="128">
                  <c:v>0.146115</c:v>
                </c:pt>
                <c:pt idx="129">
                  <c:v>0.4040596</c:v>
                </c:pt>
                <c:pt idx="130">
                  <c:v>0.0997496</c:v>
                </c:pt>
                <c:pt idx="131">
                  <c:v>0.8068448</c:v>
                </c:pt>
                <c:pt idx="132">
                  <c:v>0.2250876</c:v>
                </c:pt>
                <c:pt idx="133">
                  <c:v>0.2931281</c:v>
                </c:pt>
                <c:pt idx="134">
                  <c:v>0.2207276</c:v>
                </c:pt>
                <c:pt idx="135">
                  <c:v>0.5875161</c:v>
                </c:pt>
                <c:pt idx="136">
                  <c:v>0.3603996</c:v>
                </c:pt>
                <c:pt idx="137">
                  <c:v>0.310729</c:v>
                </c:pt>
                <c:pt idx="138">
                  <c:v>0.0415152</c:v>
                </c:pt>
                <c:pt idx="139">
                  <c:v>0.1132379</c:v>
                </c:pt>
                <c:pt idx="140">
                  <c:v>0.6677941</c:v>
                </c:pt>
                <c:pt idx="141">
                  <c:v>0.3791488</c:v>
                </c:pt>
                <c:pt idx="142">
                  <c:v>0.2204817</c:v>
                </c:pt>
                <c:pt idx="143">
                  <c:v>0.097913</c:v>
                </c:pt>
                <c:pt idx="144">
                  <c:v>0.4509445</c:v>
                </c:pt>
                <c:pt idx="145">
                  <c:v>0.3927706</c:v>
                </c:pt>
                <c:pt idx="146">
                  <c:v>0.263335</c:v>
                </c:pt>
                <c:pt idx="147">
                  <c:v>0.4256351</c:v>
                </c:pt>
                <c:pt idx="148">
                  <c:v>0.2369419</c:v>
                </c:pt>
                <c:pt idx="149">
                  <c:v>0.1377014</c:v>
                </c:pt>
                <c:pt idx="150">
                  <c:v>0.3609498</c:v>
                </c:pt>
                <c:pt idx="151">
                  <c:v>0.1377168</c:v>
                </c:pt>
                <c:pt idx="152">
                  <c:v>0.0943099</c:v>
                </c:pt>
                <c:pt idx="153">
                  <c:v>0.3267466</c:v>
                </c:pt>
                <c:pt idx="154">
                  <c:v>0.8034197</c:v>
                </c:pt>
                <c:pt idx="155">
                  <c:v>0.1158648</c:v>
                </c:pt>
                <c:pt idx="156">
                  <c:v>0.3900365</c:v>
                </c:pt>
                <c:pt idx="157">
                  <c:v>0.4125065</c:v>
                </c:pt>
                <c:pt idx="158">
                  <c:v>0.3368611</c:v>
                </c:pt>
                <c:pt idx="159">
                  <c:v>0.1281143</c:v>
                </c:pt>
                <c:pt idx="160">
                  <c:v>0.3395788</c:v>
                </c:pt>
                <c:pt idx="161">
                  <c:v>0.0566898</c:v>
                </c:pt>
                <c:pt idx="162">
                  <c:v>0.1147117</c:v>
                </c:pt>
                <c:pt idx="163">
                  <c:v>0.5873288</c:v>
                </c:pt>
                <c:pt idx="164">
                  <c:v>0.344531</c:v>
                </c:pt>
                <c:pt idx="165">
                  <c:v>0.4326463</c:v>
                </c:pt>
                <c:pt idx="166">
                  <c:v>0.1985586</c:v>
                </c:pt>
                <c:pt idx="167">
                  <c:v>0.6072742</c:v>
                </c:pt>
                <c:pt idx="168">
                  <c:v>0.2161274</c:v>
                </c:pt>
                <c:pt idx="169">
                  <c:v>0.4779941</c:v>
                </c:pt>
                <c:pt idx="170">
                  <c:v>0.3728248</c:v>
                </c:pt>
                <c:pt idx="171">
                  <c:v>0.4829014</c:v>
                </c:pt>
                <c:pt idx="172">
                  <c:v>0.2419215</c:v>
                </c:pt>
                <c:pt idx="173">
                  <c:v>0.4149659</c:v>
                </c:pt>
                <c:pt idx="174">
                  <c:v>0.3480899</c:v>
                </c:pt>
                <c:pt idx="175">
                  <c:v>0.2726658</c:v>
                </c:pt>
                <c:pt idx="176">
                  <c:v>0.3269717</c:v>
                </c:pt>
                <c:pt idx="177">
                  <c:v>0.0712262</c:v>
                </c:pt>
                <c:pt idx="178">
                  <c:v>0.1380611</c:v>
                </c:pt>
                <c:pt idx="179">
                  <c:v>0.296969</c:v>
                </c:pt>
                <c:pt idx="180">
                  <c:v>0.2111602</c:v>
                </c:pt>
                <c:pt idx="181">
                  <c:v>0.2001078</c:v>
                </c:pt>
                <c:pt idx="182">
                  <c:v>0.6246486</c:v>
                </c:pt>
                <c:pt idx="183">
                  <c:v>0.2330796</c:v>
                </c:pt>
              </c:numCache>
            </c:numRef>
          </c:xVal>
          <c:yVal>
            <c:numRef>
              <c:f>StataData!$BI$2:$BI$185</c:f>
              <c:numCache>
                <c:formatCode>General</c:formatCode>
                <c:ptCount val="184"/>
                <c:pt idx="0">
                  <c:v>27.47931</c:v>
                </c:pt>
                <c:pt idx="1">
                  <c:v>30.44209</c:v>
                </c:pt>
                <c:pt idx="2">
                  <c:v>25.41279</c:v>
                </c:pt>
                <c:pt idx="3">
                  <c:v>23.84782</c:v>
                </c:pt>
                <c:pt idx="4">
                  <c:v>18.15101</c:v>
                </c:pt>
                <c:pt idx="5">
                  <c:v>18.35315</c:v>
                </c:pt>
                <c:pt idx="6">
                  <c:v>20.21851</c:v>
                </c:pt>
                <c:pt idx="7">
                  <c:v>24.47108</c:v>
                </c:pt>
                <c:pt idx="8">
                  <c:v>24.16176</c:v>
                </c:pt>
                <c:pt idx="9">
                  <c:v>24.102</c:v>
                </c:pt>
                <c:pt idx="10">
                  <c:v>32.66854</c:v>
                </c:pt>
                <c:pt idx="11">
                  <c:v>25.67901</c:v>
                </c:pt>
                <c:pt idx="12">
                  <c:v>26.5488</c:v>
                </c:pt>
                <c:pt idx="13">
                  <c:v>26.93548</c:v>
                </c:pt>
                <c:pt idx="14">
                  <c:v>20.19812</c:v>
                </c:pt>
                <c:pt idx="15">
                  <c:v>22.73826</c:v>
                </c:pt>
                <c:pt idx="16">
                  <c:v>23.86482</c:v>
                </c:pt>
                <c:pt idx="17">
                  <c:v>32.09904</c:v>
                </c:pt>
                <c:pt idx="18">
                  <c:v>22.38064</c:v>
                </c:pt>
                <c:pt idx="19">
                  <c:v>28.66876</c:v>
                </c:pt>
                <c:pt idx="20">
                  <c:v>28.00143</c:v>
                </c:pt>
                <c:pt idx="21">
                  <c:v>25.02558</c:v>
                </c:pt>
                <c:pt idx="22">
                  <c:v>29.93849</c:v>
                </c:pt>
                <c:pt idx="23">
                  <c:v>27.51105</c:v>
                </c:pt>
                <c:pt idx="24">
                  <c:v>28.16775</c:v>
                </c:pt>
                <c:pt idx="25">
                  <c:v>23.93929</c:v>
                </c:pt>
                <c:pt idx="26">
                  <c:v>24.35162</c:v>
                </c:pt>
                <c:pt idx="27">
                  <c:v>27.49502</c:v>
                </c:pt>
                <c:pt idx="28">
                  <c:v>38.22222</c:v>
                </c:pt>
                <c:pt idx="29">
                  <c:v>26.95971</c:v>
                </c:pt>
                <c:pt idx="30">
                  <c:v>20.84697</c:v>
                </c:pt>
                <c:pt idx="31">
                  <c:v>26.09281</c:v>
                </c:pt>
                <c:pt idx="32">
                  <c:v>27.95207</c:v>
                </c:pt>
                <c:pt idx="33">
                  <c:v>25.73387</c:v>
                </c:pt>
                <c:pt idx="34">
                  <c:v>24.1297</c:v>
                </c:pt>
                <c:pt idx="35">
                  <c:v>21.84362</c:v>
                </c:pt>
                <c:pt idx="36">
                  <c:v>27.63123</c:v>
                </c:pt>
                <c:pt idx="37">
                  <c:v>29.46672</c:v>
                </c:pt>
                <c:pt idx="38">
                  <c:v>27.60035</c:v>
                </c:pt>
                <c:pt idx="39">
                  <c:v>23.69565</c:v>
                </c:pt>
                <c:pt idx="40">
                  <c:v>25.08772</c:v>
                </c:pt>
                <c:pt idx="41">
                  <c:v>27.88026</c:v>
                </c:pt>
                <c:pt idx="42">
                  <c:v>22.37887</c:v>
                </c:pt>
                <c:pt idx="43">
                  <c:v>34.90987</c:v>
                </c:pt>
                <c:pt idx="44">
                  <c:v>20.72306</c:v>
                </c:pt>
                <c:pt idx="45">
                  <c:v>20.37152</c:v>
                </c:pt>
                <c:pt idx="46">
                  <c:v>27.50958</c:v>
                </c:pt>
                <c:pt idx="47">
                  <c:v>24.11932</c:v>
                </c:pt>
                <c:pt idx="48">
                  <c:v>23.94636</c:v>
                </c:pt>
                <c:pt idx="49">
                  <c:v>22.20345</c:v>
                </c:pt>
                <c:pt idx="50">
                  <c:v>19.07401</c:v>
                </c:pt>
                <c:pt idx="51">
                  <c:v>25.30614</c:v>
                </c:pt>
                <c:pt idx="52">
                  <c:v>26.28407</c:v>
                </c:pt>
                <c:pt idx="53">
                  <c:v>21.96902</c:v>
                </c:pt>
                <c:pt idx="54">
                  <c:v>18.95349</c:v>
                </c:pt>
                <c:pt idx="55">
                  <c:v>19.63996</c:v>
                </c:pt>
                <c:pt idx="56">
                  <c:v>25.14868</c:v>
                </c:pt>
                <c:pt idx="57">
                  <c:v>33.38107</c:v>
                </c:pt>
                <c:pt idx="58">
                  <c:v>25.90517</c:v>
                </c:pt>
                <c:pt idx="59">
                  <c:v>24.62466</c:v>
                </c:pt>
                <c:pt idx="60">
                  <c:v>24.01274</c:v>
                </c:pt>
                <c:pt idx="61">
                  <c:v>30.04026</c:v>
                </c:pt>
                <c:pt idx="62">
                  <c:v>25.49091</c:v>
                </c:pt>
                <c:pt idx="63">
                  <c:v>24.73684</c:v>
                </c:pt>
                <c:pt idx="64">
                  <c:v>26.98135</c:v>
                </c:pt>
                <c:pt idx="65">
                  <c:v>24.86667</c:v>
                </c:pt>
                <c:pt idx="66">
                  <c:v>29.43005</c:v>
                </c:pt>
                <c:pt idx="67">
                  <c:v>29.02719</c:v>
                </c:pt>
                <c:pt idx="68">
                  <c:v>21.96605</c:v>
                </c:pt>
                <c:pt idx="69">
                  <c:v>25.93662</c:v>
                </c:pt>
                <c:pt idx="70">
                  <c:v>30.61111</c:v>
                </c:pt>
                <c:pt idx="71">
                  <c:v>31.6826</c:v>
                </c:pt>
                <c:pt idx="72">
                  <c:v>20.11541</c:v>
                </c:pt>
                <c:pt idx="73">
                  <c:v>28.72535</c:v>
                </c:pt>
                <c:pt idx="74">
                  <c:v>29.11271</c:v>
                </c:pt>
                <c:pt idx="75">
                  <c:v>22.17776</c:v>
                </c:pt>
                <c:pt idx="76">
                  <c:v>21.94181</c:v>
                </c:pt>
                <c:pt idx="77">
                  <c:v>25.30848</c:v>
                </c:pt>
                <c:pt idx="78">
                  <c:v>23.13651</c:v>
                </c:pt>
                <c:pt idx="79">
                  <c:v>26.80159</c:v>
                </c:pt>
                <c:pt idx="80">
                  <c:v>24.27406</c:v>
                </c:pt>
                <c:pt idx="81">
                  <c:v>26.97143</c:v>
                </c:pt>
                <c:pt idx="82">
                  <c:v>23.64298</c:v>
                </c:pt>
                <c:pt idx="83">
                  <c:v>24.5927</c:v>
                </c:pt>
                <c:pt idx="84">
                  <c:v>24.70126</c:v>
                </c:pt>
                <c:pt idx="85">
                  <c:v>18.51195</c:v>
                </c:pt>
                <c:pt idx="86">
                  <c:v>21.90217</c:v>
                </c:pt>
                <c:pt idx="87">
                  <c:v>26.67302</c:v>
                </c:pt>
                <c:pt idx="88">
                  <c:v>32.90814</c:v>
                </c:pt>
                <c:pt idx="89">
                  <c:v>20.64633</c:v>
                </c:pt>
                <c:pt idx="90">
                  <c:v>23.6128</c:v>
                </c:pt>
                <c:pt idx="91">
                  <c:v>25.30449</c:v>
                </c:pt>
                <c:pt idx="92">
                  <c:v>21.91936</c:v>
                </c:pt>
                <c:pt idx="93">
                  <c:v>24.07095</c:v>
                </c:pt>
                <c:pt idx="94">
                  <c:v>25.53589</c:v>
                </c:pt>
                <c:pt idx="95">
                  <c:v>23.21131</c:v>
                </c:pt>
                <c:pt idx="96">
                  <c:v>22.56123</c:v>
                </c:pt>
                <c:pt idx="97">
                  <c:v>29.4382</c:v>
                </c:pt>
                <c:pt idx="98">
                  <c:v>24.83421</c:v>
                </c:pt>
                <c:pt idx="99">
                  <c:v>30.63471</c:v>
                </c:pt>
                <c:pt idx="100">
                  <c:v>28.29268</c:v>
                </c:pt>
                <c:pt idx="101">
                  <c:v>20.181</c:v>
                </c:pt>
                <c:pt idx="102">
                  <c:v>24.9137</c:v>
                </c:pt>
                <c:pt idx="103">
                  <c:v>18.8961</c:v>
                </c:pt>
                <c:pt idx="104">
                  <c:v>19.30581</c:v>
                </c:pt>
                <c:pt idx="105">
                  <c:v>21.66667</c:v>
                </c:pt>
                <c:pt idx="106">
                  <c:v>21.72159</c:v>
                </c:pt>
                <c:pt idx="107">
                  <c:v>24.24731</c:v>
                </c:pt>
                <c:pt idx="108">
                  <c:v>20.90657</c:v>
                </c:pt>
                <c:pt idx="109">
                  <c:v>30.05218</c:v>
                </c:pt>
                <c:pt idx="110">
                  <c:v>29.92056</c:v>
                </c:pt>
                <c:pt idx="111">
                  <c:v>22.54562</c:v>
                </c:pt>
                <c:pt idx="112">
                  <c:v>19.8288</c:v>
                </c:pt>
                <c:pt idx="113">
                  <c:v>27.2956</c:v>
                </c:pt>
                <c:pt idx="114">
                  <c:v>21.58316</c:v>
                </c:pt>
                <c:pt idx="115">
                  <c:v>26.58031</c:v>
                </c:pt>
                <c:pt idx="116">
                  <c:v>27.79644</c:v>
                </c:pt>
                <c:pt idx="117">
                  <c:v>24.10728</c:v>
                </c:pt>
                <c:pt idx="118">
                  <c:v>32.73758</c:v>
                </c:pt>
                <c:pt idx="119">
                  <c:v>25.40322</c:v>
                </c:pt>
                <c:pt idx="120">
                  <c:v>21.30099</c:v>
                </c:pt>
                <c:pt idx="121">
                  <c:v>23.86869</c:v>
                </c:pt>
                <c:pt idx="122">
                  <c:v>24.03157</c:v>
                </c:pt>
                <c:pt idx="123">
                  <c:v>21.52909</c:v>
                </c:pt>
                <c:pt idx="124">
                  <c:v>23.84483</c:v>
                </c:pt>
                <c:pt idx="125">
                  <c:v>24.84848</c:v>
                </c:pt>
                <c:pt idx="126">
                  <c:v>39.12845</c:v>
                </c:pt>
                <c:pt idx="127">
                  <c:v>21.31609</c:v>
                </c:pt>
                <c:pt idx="128">
                  <c:v>22.20649</c:v>
                </c:pt>
                <c:pt idx="129">
                  <c:v>25.49536</c:v>
                </c:pt>
                <c:pt idx="130">
                  <c:v>24.45156</c:v>
                </c:pt>
                <c:pt idx="131">
                  <c:v>23.09633</c:v>
                </c:pt>
                <c:pt idx="132">
                  <c:v>23.0281</c:v>
                </c:pt>
                <c:pt idx="133">
                  <c:v>23.99673</c:v>
                </c:pt>
                <c:pt idx="134">
                  <c:v>30.1217</c:v>
                </c:pt>
                <c:pt idx="135">
                  <c:v>22.58865</c:v>
                </c:pt>
                <c:pt idx="136">
                  <c:v>27.63081</c:v>
                </c:pt>
                <c:pt idx="137">
                  <c:v>30.77432</c:v>
                </c:pt>
                <c:pt idx="138">
                  <c:v>20.61141</c:v>
                </c:pt>
                <c:pt idx="139">
                  <c:v>21.84786</c:v>
                </c:pt>
                <c:pt idx="140">
                  <c:v>28.8</c:v>
                </c:pt>
                <c:pt idx="141">
                  <c:v>27.71069</c:v>
                </c:pt>
                <c:pt idx="142">
                  <c:v>24.43215</c:v>
                </c:pt>
                <c:pt idx="143">
                  <c:v>20.01281</c:v>
                </c:pt>
                <c:pt idx="144">
                  <c:v>30.99057</c:v>
                </c:pt>
                <c:pt idx="145">
                  <c:v>27.58838</c:v>
                </c:pt>
                <c:pt idx="146">
                  <c:v>24.83109</c:v>
                </c:pt>
                <c:pt idx="147">
                  <c:v>22.44898</c:v>
                </c:pt>
                <c:pt idx="148">
                  <c:v>22.05825</c:v>
                </c:pt>
                <c:pt idx="149">
                  <c:v>22.21737</c:v>
                </c:pt>
                <c:pt idx="150">
                  <c:v>26.88898</c:v>
                </c:pt>
                <c:pt idx="151">
                  <c:v>19.38588</c:v>
                </c:pt>
                <c:pt idx="152">
                  <c:v>24.30364</c:v>
                </c:pt>
                <c:pt idx="153">
                  <c:v>26.43043</c:v>
                </c:pt>
                <c:pt idx="154">
                  <c:v>30.16414</c:v>
                </c:pt>
                <c:pt idx="155">
                  <c:v>19.45657</c:v>
                </c:pt>
                <c:pt idx="156">
                  <c:v>30.51639</c:v>
                </c:pt>
                <c:pt idx="157">
                  <c:v>35.88356</c:v>
                </c:pt>
                <c:pt idx="158">
                  <c:v>24.78799</c:v>
                </c:pt>
                <c:pt idx="159">
                  <c:v>19.50211</c:v>
                </c:pt>
                <c:pt idx="160">
                  <c:v>26.49215</c:v>
                </c:pt>
                <c:pt idx="161">
                  <c:v>21.05894</c:v>
                </c:pt>
                <c:pt idx="162">
                  <c:v>25.77336</c:v>
                </c:pt>
                <c:pt idx="163">
                  <c:v>26.51406</c:v>
                </c:pt>
                <c:pt idx="164">
                  <c:v>18.71728</c:v>
                </c:pt>
                <c:pt idx="165">
                  <c:v>26.08091</c:v>
                </c:pt>
                <c:pt idx="166">
                  <c:v>22.61365</c:v>
                </c:pt>
                <c:pt idx="167">
                  <c:v>22.84861</c:v>
                </c:pt>
                <c:pt idx="168">
                  <c:v>23.49294</c:v>
                </c:pt>
                <c:pt idx="169">
                  <c:v>28.28751</c:v>
                </c:pt>
                <c:pt idx="170">
                  <c:v>27.25182</c:v>
                </c:pt>
                <c:pt idx="171">
                  <c:v>28.71632</c:v>
                </c:pt>
                <c:pt idx="172">
                  <c:v>26.93676</c:v>
                </c:pt>
                <c:pt idx="173">
                  <c:v>28.00837</c:v>
                </c:pt>
                <c:pt idx="174">
                  <c:v>29.73565</c:v>
                </c:pt>
                <c:pt idx="175">
                  <c:v>21.06614</c:v>
                </c:pt>
                <c:pt idx="176">
                  <c:v>23.1635</c:v>
                </c:pt>
                <c:pt idx="177">
                  <c:v>20.08118</c:v>
                </c:pt>
                <c:pt idx="178">
                  <c:v>22.13262</c:v>
                </c:pt>
                <c:pt idx="179">
                  <c:v>24.34746</c:v>
                </c:pt>
                <c:pt idx="180">
                  <c:v>20.86572</c:v>
                </c:pt>
                <c:pt idx="181">
                  <c:v>23.86683</c:v>
                </c:pt>
                <c:pt idx="182">
                  <c:v>26.19205</c:v>
                </c:pt>
                <c:pt idx="183">
                  <c:v>26.36682</c:v>
                </c:pt>
              </c:numCache>
            </c:numRef>
          </c:yVal>
        </c:ser>
        <c:axId val="565553800"/>
        <c:axId val="565563384"/>
      </c:scatterChart>
      <c:valAx>
        <c:axId val="56555380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Branchness</a:t>
                </a:r>
              </a:p>
            </c:rich>
          </c:tx>
        </c:title>
        <c:numFmt formatCode="General" sourceLinked="1"/>
        <c:tickLblPos val="nextTo"/>
        <c:crossAx val="565563384"/>
        <c:crosses val="autoZero"/>
        <c:crossBetween val="midCat"/>
      </c:valAx>
      <c:valAx>
        <c:axId val="565563384"/>
        <c:scaling>
          <c:orientation val="minMax"/>
          <c:min val="15.0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Average Travel Time</a:t>
                </a:r>
              </a:p>
            </c:rich>
          </c:tx>
        </c:title>
        <c:numFmt formatCode="General" sourceLinked="1"/>
        <c:tickLblPos val="nextTo"/>
        <c:crossAx val="565553800"/>
        <c:crosses val="autoZero"/>
        <c:crossBetween val="midCat"/>
      </c:valAx>
    </c:plotArea>
    <c:plotVisOnly val="1"/>
  </c:char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US"/>
  <c:style val="12"/>
  <c:chart>
    <c:title>
      <c:tx>
        <c:rich>
          <a:bodyPr/>
          <a:lstStyle/>
          <a:p>
            <a:pPr>
              <a:defRPr/>
            </a:pPr>
            <a:r>
              <a:rPr lang="en-US"/>
              <a:t>Average Travel Time (min) vs. Completness measure</a:t>
            </a:r>
          </a:p>
        </c:rich>
      </c:tx>
    </c:title>
    <c:plotArea>
      <c:layout/>
      <c:scatterChart>
        <c:scatterStyle val="lineMarker"/>
        <c:ser>
          <c:idx val="0"/>
          <c:order val="0"/>
          <c:tx>
            <c:strRef>
              <c:f>StataData!$BI$1</c:f>
              <c:strCache>
                <c:ptCount val="1"/>
                <c:pt idx="0">
                  <c:v>avg_tt</c:v>
                </c:pt>
              </c:strCache>
            </c:strRef>
          </c:tx>
          <c:spPr>
            <a:ln w="47625">
              <a:noFill/>
            </a:ln>
          </c:spPr>
          <c:marker>
            <c:symbol val="circle"/>
            <c:size val="6"/>
          </c:marker>
          <c:trendline>
            <c:trendlineType val="linear"/>
            <c:dispRSqr val="1"/>
            <c:dispEq val="1"/>
            <c:trendlineLbl>
              <c:layout>
                <c:manualLayout>
                  <c:x val="0.0272750072907553"/>
                  <c:y val="0.0803147934324864"/>
                </c:manualLayout>
              </c:layout>
              <c:numFmt formatCode="General" sourceLinked="0"/>
            </c:trendlineLbl>
          </c:trendline>
          <c:trendline>
            <c:trendlineType val="linear"/>
          </c:trendline>
          <c:trendline>
            <c:trendlineType val="linear"/>
          </c:trendline>
          <c:xVal>
            <c:numRef>
              <c:f>StataData!$Y$2:$Y$185</c:f>
              <c:numCache>
                <c:formatCode>General</c:formatCode>
                <c:ptCount val="184"/>
                <c:pt idx="0">
                  <c:v>4.332</c:v>
                </c:pt>
                <c:pt idx="1">
                  <c:v>1.128</c:v>
                </c:pt>
                <c:pt idx="2">
                  <c:v>2.459</c:v>
                </c:pt>
                <c:pt idx="3">
                  <c:v>0.749</c:v>
                </c:pt>
                <c:pt idx="4">
                  <c:v>2.875</c:v>
                </c:pt>
                <c:pt idx="5">
                  <c:v>9.962</c:v>
                </c:pt>
                <c:pt idx="6">
                  <c:v>8.263</c:v>
                </c:pt>
                <c:pt idx="7">
                  <c:v>5.895</c:v>
                </c:pt>
                <c:pt idx="8">
                  <c:v>11.538</c:v>
                </c:pt>
                <c:pt idx="9">
                  <c:v>4.947</c:v>
                </c:pt>
                <c:pt idx="10">
                  <c:v>38.71</c:v>
                </c:pt>
                <c:pt idx="11">
                  <c:v>25.306</c:v>
                </c:pt>
                <c:pt idx="12">
                  <c:v>0.842</c:v>
                </c:pt>
                <c:pt idx="13">
                  <c:v>17.69</c:v>
                </c:pt>
                <c:pt idx="14">
                  <c:v>0.513</c:v>
                </c:pt>
                <c:pt idx="15">
                  <c:v>1.775</c:v>
                </c:pt>
                <c:pt idx="16">
                  <c:v>0.773</c:v>
                </c:pt>
                <c:pt idx="17">
                  <c:v>4.963999999999999</c:v>
                </c:pt>
                <c:pt idx="18">
                  <c:v>0.643</c:v>
                </c:pt>
                <c:pt idx="19">
                  <c:v>4.084</c:v>
                </c:pt>
                <c:pt idx="20">
                  <c:v>11.141</c:v>
                </c:pt>
                <c:pt idx="21">
                  <c:v>4.406</c:v>
                </c:pt>
                <c:pt idx="22">
                  <c:v>10.262</c:v>
                </c:pt>
                <c:pt idx="23">
                  <c:v>8.408999999999998</c:v>
                </c:pt>
                <c:pt idx="24">
                  <c:v>1.617</c:v>
                </c:pt>
                <c:pt idx="25">
                  <c:v>0.889</c:v>
                </c:pt>
                <c:pt idx="26">
                  <c:v>1.546</c:v>
                </c:pt>
                <c:pt idx="27">
                  <c:v>10.555</c:v>
                </c:pt>
                <c:pt idx="28">
                  <c:v>96.154</c:v>
                </c:pt>
                <c:pt idx="29">
                  <c:v>14.107</c:v>
                </c:pt>
                <c:pt idx="30">
                  <c:v>3.475</c:v>
                </c:pt>
                <c:pt idx="31">
                  <c:v>0.721</c:v>
                </c:pt>
                <c:pt idx="32">
                  <c:v>3.678</c:v>
                </c:pt>
                <c:pt idx="33">
                  <c:v>1.476</c:v>
                </c:pt>
                <c:pt idx="34">
                  <c:v>4.901</c:v>
                </c:pt>
                <c:pt idx="35">
                  <c:v>2.008</c:v>
                </c:pt>
                <c:pt idx="36">
                  <c:v>4.067</c:v>
                </c:pt>
                <c:pt idx="37">
                  <c:v>4.989</c:v>
                </c:pt>
                <c:pt idx="38">
                  <c:v>4.806</c:v>
                </c:pt>
                <c:pt idx="39">
                  <c:v>14.84</c:v>
                </c:pt>
                <c:pt idx="40">
                  <c:v>11.264</c:v>
                </c:pt>
                <c:pt idx="41">
                  <c:v>14.498</c:v>
                </c:pt>
                <c:pt idx="42">
                  <c:v>0.536</c:v>
                </c:pt>
                <c:pt idx="43">
                  <c:v>2.113</c:v>
                </c:pt>
                <c:pt idx="44">
                  <c:v>0.592</c:v>
                </c:pt>
                <c:pt idx="45">
                  <c:v>0.887</c:v>
                </c:pt>
                <c:pt idx="46">
                  <c:v>26.713</c:v>
                </c:pt>
                <c:pt idx="47">
                  <c:v>10.45</c:v>
                </c:pt>
                <c:pt idx="48">
                  <c:v>8.163</c:v>
                </c:pt>
                <c:pt idx="49">
                  <c:v>10.311</c:v>
                </c:pt>
                <c:pt idx="50">
                  <c:v>7.745</c:v>
                </c:pt>
                <c:pt idx="51">
                  <c:v>2.781</c:v>
                </c:pt>
                <c:pt idx="52">
                  <c:v>1.781</c:v>
                </c:pt>
                <c:pt idx="53">
                  <c:v>1.554</c:v>
                </c:pt>
                <c:pt idx="54">
                  <c:v>47.101</c:v>
                </c:pt>
                <c:pt idx="55">
                  <c:v>1.456</c:v>
                </c:pt>
                <c:pt idx="56">
                  <c:v>4.477</c:v>
                </c:pt>
                <c:pt idx="57">
                  <c:v>5.699</c:v>
                </c:pt>
                <c:pt idx="58">
                  <c:v>15.406</c:v>
                </c:pt>
                <c:pt idx="59">
                  <c:v>18.703</c:v>
                </c:pt>
                <c:pt idx="60">
                  <c:v>55.556</c:v>
                </c:pt>
                <c:pt idx="61">
                  <c:v>1.524</c:v>
                </c:pt>
                <c:pt idx="62">
                  <c:v>43.678</c:v>
                </c:pt>
                <c:pt idx="63">
                  <c:v>31.008</c:v>
                </c:pt>
                <c:pt idx="64">
                  <c:v>7.284</c:v>
                </c:pt>
                <c:pt idx="65">
                  <c:v>11.109</c:v>
                </c:pt>
                <c:pt idx="66">
                  <c:v>43.33300000000001</c:v>
                </c:pt>
                <c:pt idx="67">
                  <c:v>5.435</c:v>
                </c:pt>
                <c:pt idx="68">
                  <c:v>1.983</c:v>
                </c:pt>
                <c:pt idx="69">
                  <c:v>10.648</c:v>
                </c:pt>
                <c:pt idx="70">
                  <c:v>37.302</c:v>
                </c:pt>
                <c:pt idx="71">
                  <c:v>4.6</c:v>
                </c:pt>
                <c:pt idx="72">
                  <c:v>3.414</c:v>
                </c:pt>
                <c:pt idx="73">
                  <c:v>4.197</c:v>
                </c:pt>
                <c:pt idx="74">
                  <c:v>4.233</c:v>
                </c:pt>
                <c:pt idx="75">
                  <c:v>1.043</c:v>
                </c:pt>
                <c:pt idx="76">
                  <c:v>12.768</c:v>
                </c:pt>
                <c:pt idx="77">
                  <c:v>6.038</c:v>
                </c:pt>
                <c:pt idx="78">
                  <c:v>3.623</c:v>
                </c:pt>
                <c:pt idx="79">
                  <c:v>12.673</c:v>
                </c:pt>
                <c:pt idx="80">
                  <c:v>8.328999999999998</c:v>
                </c:pt>
                <c:pt idx="81">
                  <c:v>36.559</c:v>
                </c:pt>
                <c:pt idx="82">
                  <c:v>4.901</c:v>
                </c:pt>
                <c:pt idx="83">
                  <c:v>0.726</c:v>
                </c:pt>
                <c:pt idx="84">
                  <c:v>35.762</c:v>
                </c:pt>
                <c:pt idx="85">
                  <c:v>26.554</c:v>
                </c:pt>
                <c:pt idx="86">
                  <c:v>19.622</c:v>
                </c:pt>
                <c:pt idx="87">
                  <c:v>1.864</c:v>
                </c:pt>
                <c:pt idx="88">
                  <c:v>4.195</c:v>
                </c:pt>
                <c:pt idx="89">
                  <c:v>5.037</c:v>
                </c:pt>
                <c:pt idx="90">
                  <c:v>12.781</c:v>
                </c:pt>
                <c:pt idx="91">
                  <c:v>40.72</c:v>
                </c:pt>
                <c:pt idx="92">
                  <c:v>7.749</c:v>
                </c:pt>
                <c:pt idx="93">
                  <c:v>3.08</c:v>
                </c:pt>
                <c:pt idx="94">
                  <c:v>0.681</c:v>
                </c:pt>
                <c:pt idx="95">
                  <c:v>16.26</c:v>
                </c:pt>
                <c:pt idx="96">
                  <c:v>1.109</c:v>
                </c:pt>
                <c:pt idx="97">
                  <c:v>13.454</c:v>
                </c:pt>
                <c:pt idx="98">
                  <c:v>11.942</c:v>
                </c:pt>
                <c:pt idx="99">
                  <c:v>5.754</c:v>
                </c:pt>
                <c:pt idx="100">
                  <c:v>19.871</c:v>
                </c:pt>
                <c:pt idx="101">
                  <c:v>111.111</c:v>
                </c:pt>
                <c:pt idx="102">
                  <c:v>3.654</c:v>
                </c:pt>
                <c:pt idx="103">
                  <c:v>18.484</c:v>
                </c:pt>
                <c:pt idx="104">
                  <c:v>1.868</c:v>
                </c:pt>
                <c:pt idx="105">
                  <c:v>66.667</c:v>
                </c:pt>
                <c:pt idx="106">
                  <c:v>0.231</c:v>
                </c:pt>
                <c:pt idx="107">
                  <c:v>26.768</c:v>
                </c:pt>
                <c:pt idx="108">
                  <c:v>0.563</c:v>
                </c:pt>
                <c:pt idx="109">
                  <c:v>3.536</c:v>
                </c:pt>
                <c:pt idx="110">
                  <c:v>2.544</c:v>
                </c:pt>
                <c:pt idx="111">
                  <c:v>4.689999999999999</c:v>
                </c:pt>
                <c:pt idx="112">
                  <c:v>2.094</c:v>
                </c:pt>
                <c:pt idx="113">
                  <c:v>27.778</c:v>
                </c:pt>
                <c:pt idx="114">
                  <c:v>2.41</c:v>
                </c:pt>
                <c:pt idx="115">
                  <c:v>27.685</c:v>
                </c:pt>
                <c:pt idx="116">
                  <c:v>5.136</c:v>
                </c:pt>
                <c:pt idx="117">
                  <c:v>8.388</c:v>
                </c:pt>
                <c:pt idx="118">
                  <c:v>4.706</c:v>
                </c:pt>
                <c:pt idx="119">
                  <c:v>79.167</c:v>
                </c:pt>
                <c:pt idx="120">
                  <c:v>5.704</c:v>
                </c:pt>
                <c:pt idx="121">
                  <c:v>13.866</c:v>
                </c:pt>
                <c:pt idx="122">
                  <c:v>3.574</c:v>
                </c:pt>
                <c:pt idx="123">
                  <c:v>4.159000000000001</c:v>
                </c:pt>
                <c:pt idx="124">
                  <c:v>19.594</c:v>
                </c:pt>
                <c:pt idx="125">
                  <c:v>8.142</c:v>
                </c:pt>
                <c:pt idx="126">
                  <c:v>2.352</c:v>
                </c:pt>
                <c:pt idx="127">
                  <c:v>5.718</c:v>
                </c:pt>
                <c:pt idx="128">
                  <c:v>1.413</c:v>
                </c:pt>
                <c:pt idx="129">
                  <c:v>1.901</c:v>
                </c:pt>
                <c:pt idx="130">
                  <c:v>13.143</c:v>
                </c:pt>
                <c:pt idx="131">
                  <c:v>18.149</c:v>
                </c:pt>
                <c:pt idx="132">
                  <c:v>0.484</c:v>
                </c:pt>
                <c:pt idx="133">
                  <c:v>1.599</c:v>
                </c:pt>
                <c:pt idx="134">
                  <c:v>1.188</c:v>
                </c:pt>
                <c:pt idx="135">
                  <c:v>30.488</c:v>
                </c:pt>
                <c:pt idx="136">
                  <c:v>16.282</c:v>
                </c:pt>
                <c:pt idx="137">
                  <c:v>10.364</c:v>
                </c:pt>
                <c:pt idx="138">
                  <c:v>1.78</c:v>
                </c:pt>
                <c:pt idx="139">
                  <c:v>3.306</c:v>
                </c:pt>
                <c:pt idx="140">
                  <c:v>57.143</c:v>
                </c:pt>
                <c:pt idx="141">
                  <c:v>4.016999999999999</c:v>
                </c:pt>
                <c:pt idx="142">
                  <c:v>2.087</c:v>
                </c:pt>
                <c:pt idx="143">
                  <c:v>1.361</c:v>
                </c:pt>
                <c:pt idx="144">
                  <c:v>7.437</c:v>
                </c:pt>
                <c:pt idx="145">
                  <c:v>5.848</c:v>
                </c:pt>
                <c:pt idx="146">
                  <c:v>1.347</c:v>
                </c:pt>
                <c:pt idx="147">
                  <c:v>35.98500000000001</c:v>
                </c:pt>
                <c:pt idx="148">
                  <c:v>1.349</c:v>
                </c:pt>
                <c:pt idx="149">
                  <c:v>1.566</c:v>
                </c:pt>
                <c:pt idx="150">
                  <c:v>2.849</c:v>
                </c:pt>
                <c:pt idx="151">
                  <c:v>2.22</c:v>
                </c:pt>
                <c:pt idx="152">
                  <c:v>6.512</c:v>
                </c:pt>
                <c:pt idx="153">
                  <c:v>4.738</c:v>
                </c:pt>
                <c:pt idx="154">
                  <c:v>13.291</c:v>
                </c:pt>
                <c:pt idx="155">
                  <c:v>7.795</c:v>
                </c:pt>
                <c:pt idx="156">
                  <c:v>14.105</c:v>
                </c:pt>
                <c:pt idx="157">
                  <c:v>4.113</c:v>
                </c:pt>
                <c:pt idx="158">
                  <c:v>18.852</c:v>
                </c:pt>
                <c:pt idx="159">
                  <c:v>1.182</c:v>
                </c:pt>
                <c:pt idx="160">
                  <c:v>27.29</c:v>
                </c:pt>
                <c:pt idx="161">
                  <c:v>0.264</c:v>
                </c:pt>
                <c:pt idx="162">
                  <c:v>7.281</c:v>
                </c:pt>
                <c:pt idx="163">
                  <c:v>5.569</c:v>
                </c:pt>
                <c:pt idx="164">
                  <c:v>25.253</c:v>
                </c:pt>
                <c:pt idx="165">
                  <c:v>10.647</c:v>
                </c:pt>
                <c:pt idx="166">
                  <c:v>3.089</c:v>
                </c:pt>
                <c:pt idx="167">
                  <c:v>27.132</c:v>
                </c:pt>
                <c:pt idx="168">
                  <c:v>12.91</c:v>
                </c:pt>
                <c:pt idx="169">
                  <c:v>3.519</c:v>
                </c:pt>
                <c:pt idx="170">
                  <c:v>3.25</c:v>
                </c:pt>
                <c:pt idx="171">
                  <c:v>4.165</c:v>
                </c:pt>
                <c:pt idx="172">
                  <c:v>25.49</c:v>
                </c:pt>
                <c:pt idx="173">
                  <c:v>5.969</c:v>
                </c:pt>
                <c:pt idx="174">
                  <c:v>5.675999999999999</c:v>
                </c:pt>
                <c:pt idx="175">
                  <c:v>6.250999999999999</c:v>
                </c:pt>
                <c:pt idx="176">
                  <c:v>5.107</c:v>
                </c:pt>
                <c:pt idx="177">
                  <c:v>3.088</c:v>
                </c:pt>
                <c:pt idx="178">
                  <c:v>1.748</c:v>
                </c:pt>
                <c:pt idx="179">
                  <c:v>2.747</c:v>
                </c:pt>
                <c:pt idx="180">
                  <c:v>18.327</c:v>
                </c:pt>
                <c:pt idx="181">
                  <c:v>0.672</c:v>
                </c:pt>
                <c:pt idx="182">
                  <c:v>26.282</c:v>
                </c:pt>
                <c:pt idx="183">
                  <c:v>5.736</c:v>
                </c:pt>
              </c:numCache>
            </c:numRef>
          </c:xVal>
          <c:yVal>
            <c:numRef>
              <c:f>StataData!$BI$2:$BI$185</c:f>
              <c:numCache>
                <c:formatCode>General</c:formatCode>
                <c:ptCount val="184"/>
                <c:pt idx="0">
                  <c:v>27.47931</c:v>
                </c:pt>
                <c:pt idx="1">
                  <c:v>30.44209</c:v>
                </c:pt>
                <c:pt idx="2">
                  <c:v>25.41279</c:v>
                </c:pt>
                <c:pt idx="3">
                  <c:v>23.84782</c:v>
                </c:pt>
                <c:pt idx="4">
                  <c:v>18.15101</c:v>
                </c:pt>
                <c:pt idx="5">
                  <c:v>18.35315</c:v>
                </c:pt>
                <c:pt idx="6">
                  <c:v>20.21851</c:v>
                </c:pt>
                <c:pt idx="7">
                  <c:v>24.47108</c:v>
                </c:pt>
                <c:pt idx="8">
                  <c:v>24.16176</c:v>
                </c:pt>
                <c:pt idx="9">
                  <c:v>24.102</c:v>
                </c:pt>
                <c:pt idx="10">
                  <c:v>32.66854</c:v>
                </c:pt>
                <c:pt idx="11">
                  <c:v>25.67901</c:v>
                </c:pt>
                <c:pt idx="12">
                  <c:v>26.5488</c:v>
                </c:pt>
                <c:pt idx="13">
                  <c:v>26.93548</c:v>
                </c:pt>
                <c:pt idx="14">
                  <c:v>20.19812</c:v>
                </c:pt>
                <c:pt idx="15">
                  <c:v>22.73826</c:v>
                </c:pt>
                <c:pt idx="16">
                  <c:v>23.86482</c:v>
                </c:pt>
                <c:pt idx="17">
                  <c:v>32.09904</c:v>
                </c:pt>
                <c:pt idx="18">
                  <c:v>22.38064</c:v>
                </c:pt>
                <c:pt idx="19">
                  <c:v>28.66876</c:v>
                </c:pt>
                <c:pt idx="20">
                  <c:v>28.00143</c:v>
                </c:pt>
                <c:pt idx="21">
                  <c:v>25.02558</c:v>
                </c:pt>
                <c:pt idx="22">
                  <c:v>29.93849</c:v>
                </c:pt>
                <c:pt idx="23">
                  <c:v>27.51105</c:v>
                </c:pt>
                <c:pt idx="24">
                  <c:v>28.16775</c:v>
                </c:pt>
                <c:pt idx="25">
                  <c:v>23.93929</c:v>
                </c:pt>
                <c:pt idx="26">
                  <c:v>24.35162</c:v>
                </c:pt>
                <c:pt idx="27">
                  <c:v>27.49502</c:v>
                </c:pt>
                <c:pt idx="28">
                  <c:v>38.22222</c:v>
                </c:pt>
                <c:pt idx="29">
                  <c:v>26.95971</c:v>
                </c:pt>
                <c:pt idx="30">
                  <c:v>20.84697</c:v>
                </c:pt>
                <c:pt idx="31">
                  <c:v>26.09281</c:v>
                </c:pt>
                <c:pt idx="32">
                  <c:v>27.95207</c:v>
                </c:pt>
                <c:pt idx="33">
                  <c:v>25.73387</c:v>
                </c:pt>
                <c:pt idx="34">
                  <c:v>24.1297</c:v>
                </c:pt>
                <c:pt idx="35">
                  <c:v>21.84362</c:v>
                </c:pt>
                <c:pt idx="36">
                  <c:v>27.63123</c:v>
                </c:pt>
                <c:pt idx="37">
                  <c:v>29.46672</c:v>
                </c:pt>
                <c:pt idx="38">
                  <c:v>27.60035</c:v>
                </c:pt>
                <c:pt idx="39">
                  <c:v>23.69565</c:v>
                </c:pt>
                <c:pt idx="40">
                  <c:v>25.08772</c:v>
                </c:pt>
                <c:pt idx="41">
                  <c:v>27.88026</c:v>
                </c:pt>
                <c:pt idx="42">
                  <c:v>22.37887</c:v>
                </c:pt>
                <c:pt idx="43">
                  <c:v>34.90987</c:v>
                </c:pt>
                <c:pt idx="44">
                  <c:v>20.72306</c:v>
                </c:pt>
                <c:pt idx="45">
                  <c:v>20.37152</c:v>
                </c:pt>
                <c:pt idx="46">
                  <c:v>27.50958</c:v>
                </c:pt>
                <c:pt idx="47">
                  <c:v>24.11932</c:v>
                </c:pt>
                <c:pt idx="48">
                  <c:v>23.94636</c:v>
                </c:pt>
                <c:pt idx="49">
                  <c:v>22.20345</c:v>
                </c:pt>
                <c:pt idx="50">
                  <c:v>19.07401</c:v>
                </c:pt>
                <c:pt idx="51">
                  <c:v>25.30614</c:v>
                </c:pt>
                <c:pt idx="52">
                  <c:v>26.28407</c:v>
                </c:pt>
                <c:pt idx="53">
                  <c:v>21.96902</c:v>
                </c:pt>
                <c:pt idx="54">
                  <c:v>18.95349</c:v>
                </c:pt>
                <c:pt idx="55">
                  <c:v>19.63996</c:v>
                </c:pt>
                <c:pt idx="56">
                  <c:v>25.14868</c:v>
                </c:pt>
                <c:pt idx="57">
                  <c:v>33.38107</c:v>
                </c:pt>
                <c:pt idx="58">
                  <c:v>25.90517</c:v>
                </c:pt>
                <c:pt idx="59">
                  <c:v>24.62466</c:v>
                </c:pt>
                <c:pt idx="60">
                  <c:v>24.01274</c:v>
                </c:pt>
                <c:pt idx="61">
                  <c:v>30.04026</c:v>
                </c:pt>
                <c:pt idx="62">
                  <c:v>25.49091</c:v>
                </c:pt>
                <c:pt idx="63">
                  <c:v>24.73684</c:v>
                </c:pt>
                <c:pt idx="64">
                  <c:v>26.98135</c:v>
                </c:pt>
                <c:pt idx="65">
                  <c:v>24.86667</c:v>
                </c:pt>
                <c:pt idx="66">
                  <c:v>29.43005</c:v>
                </c:pt>
                <c:pt idx="67">
                  <c:v>29.02719</c:v>
                </c:pt>
                <c:pt idx="68">
                  <c:v>21.96605</c:v>
                </c:pt>
                <c:pt idx="69">
                  <c:v>25.93662</c:v>
                </c:pt>
                <c:pt idx="70">
                  <c:v>30.61111</c:v>
                </c:pt>
                <c:pt idx="71">
                  <c:v>31.6826</c:v>
                </c:pt>
                <c:pt idx="72">
                  <c:v>20.11541</c:v>
                </c:pt>
                <c:pt idx="73">
                  <c:v>28.72535</c:v>
                </c:pt>
                <c:pt idx="74">
                  <c:v>29.11271</c:v>
                </c:pt>
                <c:pt idx="75">
                  <c:v>22.17776</c:v>
                </c:pt>
                <c:pt idx="76">
                  <c:v>21.94181</c:v>
                </c:pt>
                <c:pt idx="77">
                  <c:v>25.30848</c:v>
                </c:pt>
                <c:pt idx="78">
                  <c:v>23.13651</c:v>
                </c:pt>
                <c:pt idx="79">
                  <c:v>26.80159</c:v>
                </c:pt>
                <c:pt idx="80">
                  <c:v>24.27406</c:v>
                </c:pt>
                <c:pt idx="81">
                  <c:v>26.97143</c:v>
                </c:pt>
                <c:pt idx="82">
                  <c:v>23.64298</c:v>
                </c:pt>
                <c:pt idx="83">
                  <c:v>24.5927</c:v>
                </c:pt>
                <c:pt idx="84">
                  <c:v>24.70126</c:v>
                </c:pt>
                <c:pt idx="85">
                  <c:v>18.51195</c:v>
                </c:pt>
                <c:pt idx="86">
                  <c:v>21.90217</c:v>
                </c:pt>
                <c:pt idx="87">
                  <c:v>26.67302</c:v>
                </c:pt>
                <c:pt idx="88">
                  <c:v>32.90814</c:v>
                </c:pt>
                <c:pt idx="89">
                  <c:v>20.64633</c:v>
                </c:pt>
                <c:pt idx="90">
                  <c:v>23.6128</c:v>
                </c:pt>
                <c:pt idx="91">
                  <c:v>25.30449</c:v>
                </c:pt>
                <c:pt idx="92">
                  <c:v>21.91936</c:v>
                </c:pt>
                <c:pt idx="93">
                  <c:v>24.07095</c:v>
                </c:pt>
                <c:pt idx="94">
                  <c:v>25.53589</c:v>
                </c:pt>
                <c:pt idx="95">
                  <c:v>23.21131</c:v>
                </c:pt>
                <c:pt idx="96">
                  <c:v>22.56123</c:v>
                </c:pt>
                <c:pt idx="97">
                  <c:v>29.4382</c:v>
                </c:pt>
                <c:pt idx="98">
                  <c:v>24.83421</c:v>
                </c:pt>
                <c:pt idx="99">
                  <c:v>30.63471</c:v>
                </c:pt>
                <c:pt idx="100">
                  <c:v>28.29268</c:v>
                </c:pt>
                <c:pt idx="101">
                  <c:v>20.181</c:v>
                </c:pt>
                <c:pt idx="102">
                  <c:v>24.9137</c:v>
                </c:pt>
                <c:pt idx="103">
                  <c:v>18.8961</c:v>
                </c:pt>
                <c:pt idx="104">
                  <c:v>19.30581</c:v>
                </c:pt>
                <c:pt idx="105">
                  <c:v>21.66667</c:v>
                </c:pt>
                <c:pt idx="106">
                  <c:v>21.72159</c:v>
                </c:pt>
                <c:pt idx="107">
                  <c:v>24.24731</c:v>
                </c:pt>
                <c:pt idx="108">
                  <c:v>20.90657</c:v>
                </c:pt>
                <c:pt idx="109">
                  <c:v>30.05218</c:v>
                </c:pt>
                <c:pt idx="110">
                  <c:v>29.92056</c:v>
                </c:pt>
                <c:pt idx="111">
                  <c:v>22.54562</c:v>
                </c:pt>
                <c:pt idx="112">
                  <c:v>19.8288</c:v>
                </c:pt>
                <c:pt idx="113">
                  <c:v>27.2956</c:v>
                </c:pt>
                <c:pt idx="114">
                  <c:v>21.58316</c:v>
                </c:pt>
                <c:pt idx="115">
                  <c:v>26.58031</c:v>
                </c:pt>
                <c:pt idx="116">
                  <c:v>27.79644</c:v>
                </c:pt>
                <c:pt idx="117">
                  <c:v>24.10728</c:v>
                </c:pt>
                <c:pt idx="118">
                  <c:v>32.73758</c:v>
                </c:pt>
                <c:pt idx="119">
                  <c:v>25.40322</c:v>
                </c:pt>
                <c:pt idx="120">
                  <c:v>21.30099</c:v>
                </c:pt>
                <c:pt idx="121">
                  <c:v>23.86869</c:v>
                </c:pt>
                <c:pt idx="122">
                  <c:v>24.03157</c:v>
                </c:pt>
                <c:pt idx="123">
                  <c:v>21.52909</c:v>
                </c:pt>
                <c:pt idx="124">
                  <c:v>23.84483</c:v>
                </c:pt>
                <c:pt idx="125">
                  <c:v>24.84848</c:v>
                </c:pt>
                <c:pt idx="126">
                  <c:v>39.12845</c:v>
                </c:pt>
                <c:pt idx="127">
                  <c:v>21.31609</c:v>
                </c:pt>
                <c:pt idx="128">
                  <c:v>22.20649</c:v>
                </c:pt>
                <c:pt idx="129">
                  <c:v>25.49536</c:v>
                </c:pt>
                <c:pt idx="130">
                  <c:v>24.45156</c:v>
                </c:pt>
                <c:pt idx="131">
                  <c:v>23.09633</c:v>
                </c:pt>
                <c:pt idx="132">
                  <c:v>23.0281</c:v>
                </c:pt>
                <c:pt idx="133">
                  <c:v>23.99673</c:v>
                </c:pt>
                <c:pt idx="134">
                  <c:v>30.1217</c:v>
                </c:pt>
                <c:pt idx="135">
                  <c:v>22.58865</c:v>
                </c:pt>
                <c:pt idx="136">
                  <c:v>27.63081</c:v>
                </c:pt>
                <c:pt idx="137">
                  <c:v>30.77432</c:v>
                </c:pt>
                <c:pt idx="138">
                  <c:v>20.61141</c:v>
                </c:pt>
                <c:pt idx="139">
                  <c:v>21.84786</c:v>
                </c:pt>
                <c:pt idx="140">
                  <c:v>28.8</c:v>
                </c:pt>
                <c:pt idx="141">
                  <c:v>27.71069</c:v>
                </c:pt>
                <c:pt idx="142">
                  <c:v>24.43215</c:v>
                </c:pt>
                <c:pt idx="143">
                  <c:v>20.01281</c:v>
                </c:pt>
                <c:pt idx="144">
                  <c:v>30.99057</c:v>
                </c:pt>
                <c:pt idx="145">
                  <c:v>27.58838</c:v>
                </c:pt>
                <c:pt idx="146">
                  <c:v>24.83109</c:v>
                </c:pt>
                <c:pt idx="147">
                  <c:v>22.44898</c:v>
                </c:pt>
                <c:pt idx="148">
                  <c:v>22.05825</c:v>
                </c:pt>
                <c:pt idx="149">
                  <c:v>22.21737</c:v>
                </c:pt>
                <c:pt idx="150">
                  <c:v>26.88898</c:v>
                </c:pt>
                <c:pt idx="151">
                  <c:v>19.38588</c:v>
                </c:pt>
                <c:pt idx="152">
                  <c:v>24.30364</c:v>
                </c:pt>
                <c:pt idx="153">
                  <c:v>26.43043</c:v>
                </c:pt>
                <c:pt idx="154">
                  <c:v>30.16414</c:v>
                </c:pt>
                <c:pt idx="155">
                  <c:v>19.45657</c:v>
                </c:pt>
                <c:pt idx="156">
                  <c:v>30.51639</c:v>
                </c:pt>
                <c:pt idx="157">
                  <c:v>35.88356</c:v>
                </c:pt>
                <c:pt idx="158">
                  <c:v>24.78799</c:v>
                </c:pt>
                <c:pt idx="159">
                  <c:v>19.50211</c:v>
                </c:pt>
                <c:pt idx="160">
                  <c:v>26.49215</c:v>
                </c:pt>
                <c:pt idx="161">
                  <c:v>21.05894</c:v>
                </c:pt>
                <c:pt idx="162">
                  <c:v>25.77336</c:v>
                </c:pt>
                <c:pt idx="163">
                  <c:v>26.51406</c:v>
                </c:pt>
                <c:pt idx="164">
                  <c:v>18.71728</c:v>
                </c:pt>
                <c:pt idx="165">
                  <c:v>26.08091</c:v>
                </c:pt>
                <c:pt idx="166">
                  <c:v>22.61365</c:v>
                </c:pt>
                <c:pt idx="167">
                  <c:v>22.84861</c:v>
                </c:pt>
                <c:pt idx="168">
                  <c:v>23.49294</c:v>
                </c:pt>
                <c:pt idx="169">
                  <c:v>28.28751</c:v>
                </c:pt>
                <c:pt idx="170">
                  <c:v>27.25182</c:v>
                </c:pt>
                <c:pt idx="171">
                  <c:v>28.71632</c:v>
                </c:pt>
                <c:pt idx="172">
                  <c:v>26.93676</c:v>
                </c:pt>
                <c:pt idx="173">
                  <c:v>28.00837</c:v>
                </c:pt>
                <c:pt idx="174">
                  <c:v>29.73565</c:v>
                </c:pt>
                <c:pt idx="175">
                  <c:v>21.06614</c:v>
                </c:pt>
                <c:pt idx="176">
                  <c:v>23.1635</c:v>
                </c:pt>
                <c:pt idx="177">
                  <c:v>20.08118</c:v>
                </c:pt>
                <c:pt idx="178">
                  <c:v>22.13262</c:v>
                </c:pt>
                <c:pt idx="179">
                  <c:v>24.34746</c:v>
                </c:pt>
                <c:pt idx="180">
                  <c:v>20.86572</c:v>
                </c:pt>
                <c:pt idx="181">
                  <c:v>23.86683</c:v>
                </c:pt>
                <c:pt idx="182">
                  <c:v>26.19205</c:v>
                </c:pt>
                <c:pt idx="183">
                  <c:v>26.36682</c:v>
                </c:pt>
              </c:numCache>
            </c:numRef>
          </c:yVal>
        </c:ser>
        <c:axId val="565594680"/>
        <c:axId val="565618184"/>
      </c:scatterChart>
      <c:valAx>
        <c:axId val="56559468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Completeness * 1000</a:t>
                </a:r>
              </a:p>
            </c:rich>
          </c:tx>
        </c:title>
        <c:numFmt formatCode="General" sourceLinked="1"/>
        <c:tickLblPos val="nextTo"/>
        <c:crossAx val="565618184"/>
        <c:crosses val="autoZero"/>
        <c:crossBetween val="midCat"/>
      </c:valAx>
      <c:valAx>
        <c:axId val="565618184"/>
        <c:scaling>
          <c:orientation val="minMax"/>
          <c:min val="15.0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Average Travel Time</a:t>
                </a:r>
              </a:p>
            </c:rich>
          </c:tx>
        </c:title>
        <c:numFmt formatCode="General" sourceLinked="1"/>
        <c:tickLblPos val="nextTo"/>
        <c:crossAx val="565594680"/>
        <c:crosses val="autoZero"/>
        <c:crossBetween val="midCat"/>
      </c:valAx>
    </c:plotArea>
    <c:plotVisOnly val="1"/>
  </c:char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US"/>
  <c:style val="12"/>
  <c:chart>
    <c:title>
      <c:tx>
        <c:rich>
          <a:bodyPr/>
          <a:lstStyle/>
          <a:p>
            <a:pPr>
              <a:defRPr/>
            </a:pPr>
            <a:r>
              <a:rPr lang="en-US"/>
              <a:t>Average Travel Time (min) vs. Circuity measure</a:t>
            </a:r>
          </a:p>
        </c:rich>
      </c:tx>
    </c:title>
    <c:plotArea>
      <c:layout/>
      <c:scatterChart>
        <c:scatterStyle val="lineMarker"/>
        <c:ser>
          <c:idx val="0"/>
          <c:order val="0"/>
          <c:tx>
            <c:strRef>
              <c:f>StataData!$BI$1</c:f>
              <c:strCache>
                <c:ptCount val="1"/>
                <c:pt idx="0">
                  <c:v>avg_tt</c:v>
                </c:pt>
              </c:strCache>
            </c:strRef>
          </c:tx>
          <c:spPr>
            <a:ln w="47625">
              <a:noFill/>
            </a:ln>
          </c:spPr>
          <c:marker>
            <c:symbol val="circle"/>
            <c:size val="6"/>
          </c:marker>
          <c:trendline>
            <c:trendlineType val="linear"/>
            <c:dispRSqr val="1"/>
            <c:dispEq val="1"/>
            <c:trendlineLbl>
              <c:layout>
                <c:manualLayout>
                  <c:x val="0.027161154855643"/>
                  <c:y val="-0.0508891081396769"/>
                </c:manualLayout>
              </c:layout>
              <c:numFmt formatCode="General" sourceLinked="0"/>
            </c:trendlineLbl>
          </c:trendline>
          <c:xVal>
            <c:numRef>
              <c:f>StataData!$AC$2:$AC$185</c:f>
              <c:numCache>
                <c:formatCode>General</c:formatCode>
                <c:ptCount val="184"/>
                <c:pt idx="0">
                  <c:v>1.44</c:v>
                </c:pt>
                <c:pt idx="1">
                  <c:v>1.4</c:v>
                </c:pt>
                <c:pt idx="2">
                  <c:v>1.39</c:v>
                </c:pt>
                <c:pt idx="3">
                  <c:v>1.33</c:v>
                </c:pt>
                <c:pt idx="4">
                  <c:v>1.34</c:v>
                </c:pt>
                <c:pt idx="5">
                  <c:v>1.4</c:v>
                </c:pt>
                <c:pt idx="6">
                  <c:v>1.62</c:v>
                </c:pt>
                <c:pt idx="7">
                  <c:v>1.3</c:v>
                </c:pt>
                <c:pt idx="8">
                  <c:v>1.53</c:v>
                </c:pt>
                <c:pt idx="9">
                  <c:v>1.41</c:v>
                </c:pt>
                <c:pt idx="10">
                  <c:v>1.39</c:v>
                </c:pt>
                <c:pt idx="11">
                  <c:v>1.28</c:v>
                </c:pt>
                <c:pt idx="12">
                  <c:v>1.39</c:v>
                </c:pt>
                <c:pt idx="13">
                  <c:v>1.45</c:v>
                </c:pt>
                <c:pt idx="14">
                  <c:v>1.28</c:v>
                </c:pt>
                <c:pt idx="15">
                  <c:v>1.32</c:v>
                </c:pt>
                <c:pt idx="16">
                  <c:v>1.35</c:v>
                </c:pt>
                <c:pt idx="17">
                  <c:v>1.35</c:v>
                </c:pt>
                <c:pt idx="18">
                  <c:v>1.3</c:v>
                </c:pt>
                <c:pt idx="19">
                  <c:v>1.63</c:v>
                </c:pt>
                <c:pt idx="20">
                  <c:v>1.54</c:v>
                </c:pt>
                <c:pt idx="21">
                  <c:v>1.36</c:v>
                </c:pt>
                <c:pt idx="22">
                  <c:v>1.4</c:v>
                </c:pt>
                <c:pt idx="23">
                  <c:v>1.38</c:v>
                </c:pt>
                <c:pt idx="24">
                  <c:v>1.32</c:v>
                </c:pt>
                <c:pt idx="25">
                  <c:v>1.5</c:v>
                </c:pt>
                <c:pt idx="26">
                  <c:v>1.44</c:v>
                </c:pt>
                <c:pt idx="27">
                  <c:v>1.5</c:v>
                </c:pt>
                <c:pt idx="28">
                  <c:v>1.24</c:v>
                </c:pt>
                <c:pt idx="29">
                  <c:v>1.41</c:v>
                </c:pt>
                <c:pt idx="30">
                  <c:v>1.3</c:v>
                </c:pt>
                <c:pt idx="31">
                  <c:v>1.28</c:v>
                </c:pt>
                <c:pt idx="32">
                  <c:v>1.34</c:v>
                </c:pt>
                <c:pt idx="33">
                  <c:v>1.44</c:v>
                </c:pt>
                <c:pt idx="34">
                  <c:v>1.43</c:v>
                </c:pt>
                <c:pt idx="35">
                  <c:v>1.38</c:v>
                </c:pt>
                <c:pt idx="36">
                  <c:v>1.48</c:v>
                </c:pt>
                <c:pt idx="37">
                  <c:v>1.58</c:v>
                </c:pt>
                <c:pt idx="38">
                  <c:v>1.47</c:v>
                </c:pt>
                <c:pt idx="39">
                  <c:v>1.52</c:v>
                </c:pt>
                <c:pt idx="40">
                  <c:v>1.32</c:v>
                </c:pt>
                <c:pt idx="41">
                  <c:v>1.4</c:v>
                </c:pt>
                <c:pt idx="42">
                  <c:v>1.28</c:v>
                </c:pt>
                <c:pt idx="43">
                  <c:v>1.4</c:v>
                </c:pt>
                <c:pt idx="44">
                  <c:v>1.35</c:v>
                </c:pt>
                <c:pt idx="45">
                  <c:v>1.32</c:v>
                </c:pt>
                <c:pt idx="46">
                  <c:v>1.79</c:v>
                </c:pt>
                <c:pt idx="47">
                  <c:v>1.43</c:v>
                </c:pt>
                <c:pt idx="48">
                  <c:v>1.35</c:v>
                </c:pt>
                <c:pt idx="49">
                  <c:v>1.3</c:v>
                </c:pt>
                <c:pt idx="50">
                  <c:v>1.36</c:v>
                </c:pt>
                <c:pt idx="51">
                  <c:v>1.32</c:v>
                </c:pt>
                <c:pt idx="52">
                  <c:v>1.47</c:v>
                </c:pt>
                <c:pt idx="53">
                  <c:v>1.31</c:v>
                </c:pt>
                <c:pt idx="54">
                  <c:v>1.49</c:v>
                </c:pt>
                <c:pt idx="55">
                  <c:v>1.33</c:v>
                </c:pt>
                <c:pt idx="56">
                  <c:v>1.42</c:v>
                </c:pt>
                <c:pt idx="57">
                  <c:v>1.46</c:v>
                </c:pt>
                <c:pt idx="58">
                  <c:v>1.38</c:v>
                </c:pt>
                <c:pt idx="59">
                  <c:v>1.67</c:v>
                </c:pt>
                <c:pt idx="60">
                  <c:v>1.4</c:v>
                </c:pt>
                <c:pt idx="61">
                  <c:v>1.44</c:v>
                </c:pt>
                <c:pt idx="62">
                  <c:v>1.41</c:v>
                </c:pt>
                <c:pt idx="63">
                  <c:v>1.36</c:v>
                </c:pt>
                <c:pt idx="64">
                  <c:v>1.54</c:v>
                </c:pt>
                <c:pt idx="65">
                  <c:v>1.33</c:v>
                </c:pt>
                <c:pt idx="66">
                  <c:v>1.26</c:v>
                </c:pt>
                <c:pt idx="67">
                  <c:v>2.03</c:v>
                </c:pt>
                <c:pt idx="68">
                  <c:v>1.34</c:v>
                </c:pt>
                <c:pt idx="69">
                  <c:v>1.36</c:v>
                </c:pt>
                <c:pt idx="70">
                  <c:v>1.75</c:v>
                </c:pt>
                <c:pt idx="71">
                  <c:v>1.41</c:v>
                </c:pt>
                <c:pt idx="72">
                  <c:v>1.32</c:v>
                </c:pt>
                <c:pt idx="73">
                  <c:v>1.35</c:v>
                </c:pt>
                <c:pt idx="74">
                  <c:v>1.37</c:v>
                </c:pt>
                <c:pt idx="75">
                  <c:v>1.4</c:v>
                </c:pt>
                <c:pt idx="76">
                  <c:v>1.4</c:v>
                </c:pt>
                <c:pt idx="77">
                  <c:v>1.51</c:v>
                </c:pt>
                <c:pt idx="78">
                  <c:v>1.43</c:v>
                </c:pt>
                <c:pt idx="79">
                  <c:v>1.32</c:v>
                </c:pt>
                <c:pt idx="80">
                  <c:v>1.3</c:v>
                </c:pt>
                <c:pt idx="81">
                  <c:v>1.78</c:v>
                </c:pt>
                <c:pt idx="82">
                  <c:v>1.51</c:v>
                </c:pt>
                <c:pt idx="83">
                  <c:v>1.28</c:v>
                </c:pt>
                <c:pt idx="84">
                  <c:v>1.25</c:v>
                </c:pt>
                <c:pt idx="85">
                  <c:v>1.26</c:v>
                </c:pt>
                <c:pt idx="86">
                  <c:v>1.36</c:v>
                </c:pt>
                <c:pt idx="87">
                  <c:v>1.9</c:v>
                </c:pt>
                <c:pt idx="88">
                  <c:v>1.78</c:v>
                </c:pt>
                <c:pt idx="89">
                  <c:v>1.54</c:v>
                </c:pt>
                <c:pt idx="90">
                  <c:v>1.32</c:v>
                </c:pt>
                <c:pt idx="91">
                  <c:v>1.65</c:v>
                </c:pt>
                <c:pt idx="92">
                  <c:v>1.46</c:v>
                </c:pt>
                <c:pt idx="93">
                  <c:v>1.52</c:v>
                </c:pt>
                <c:pt idx="94">
                  <c:v>1.4</c:v>
                </c:pt>
                <c:pt idx="95">
                  <c:v>1.39</c:v>
                </c:pt>
                <c:pt idx="96">
                  <c:v>1.34</c:v>
                </c:pt>
                <c:pt idx="97">
                  <c:v>1.5</c:v>
                </c:pt>
                <c:pt idx="98">
                  <c:v>1.38</c:v>
                </c:pt>
                <c:pt idx="99">
                  <c:v>1.5</c:v>
                </c:pt>
                <c:pt idx="100">
                  <c:v>1.35</c:v>
                </c:pt>
                <c:pt idx="101">
                  <c:v>1.14</c:v>
                </c:pt>
                <c:pt idx="102">
                  <c:v>1.39</c:v>
                </c:pt>
                <c:pt idx="103">
                  <c:v>1.71</c:v>
                </c:pt>
                <c:pt idx="104">
                  <c:v>1.42</c:v>
                </c:pt>
                <c:pt idx="105">
                  <c:v>1.21</c:v>
                </c:pt>
                <c:pt idx="106">
                  <c:v>1.16</c:v>
                </c:pt>
                <c:pt idx="107">
                  <c:v>1.31</c:v>
                </c:pt>
                <c:pt idx="108">
                  <c:v>1.34</c:v>
                </c:pt>
                <c:pt idx="109">
                  <c:v>1.75</c:v>
                </c:pt>
                <c:pt idx="110">
                  <c:v>1.5</c:v>
                </c:pt>
                <c:pt idx="111">
                  <c:v>1.33</c:v>
                </c:pt>
                <c:pt idx="112">
                  <c:v>1.42</c:v>
                </c:pt>
                <c:pt idx="113">
                  <c:v>1.27</c:v>
                </c:pt>
                <c:pt idx="114">
                  <c:v>1.27</c:v>
                </c:pt>
                <c:pt idx="115">
                  <c:v>1.58</c:v>
                </c:pt>
                <c:pt idx="116">
                  <c:v>1.49</c:v>
                </c:pt>
                <c:pt idx="117">
                  <c:v>1.33</c:v>
                </c:pt>
                <c:pt idx="118">
                  <c:v>1.38</c:v>
                </c:pt>
                <c:pt idx="119">
                  <c:v>1.2</c:v>
                </c:pt>
                <c:pt idx="120">
                  <c:v>1.38</c:v>
                </c:pt>
                <c:pt idx="121">
                  <c:v>1.4</c:v>
                </c:pt>
                <c:pt idx="122">
                  <c:v>1.47</c:v>
                </c:pt>
                <c:pt idx="123">
                  <c:v>1.31</c:v>
                </c:pt>
                <c:pt idx="124">
                  <c:v>1.76</c:v>
                </c:pt>
                <c:pt idx="125">
                  <c:v>1.31</c:v>
                </c:pt>
                <c:pt idx="126">
                  <c:v>1.49</c:v>
                </c:pt>
                <c:pt idx="127">
                  <c:v>1.36</c:v>
                </c:pt>
                <c:pt idx="128">
                  <c:v>1.29</c:v>
                </c:pt>
                <c:pt idx="129">
                  <c:v>1.6</c:v>
                </c:pt>
                <c:pt idx="130">
                  <c:v>1.27</c:v>
                </c:pt>
                <c:pt idx="131">
                  <c:v>1.6</c:v>
                </c:pt>
                <c:pt idx="132">
                  <c:v>1.33</c:v>
                </c:pt>
                <c:pt idx="133">
                  <c:v>1.5</c:v>
                </c:pt>
                <c:pt idx="134">
                  <c:v>1.4</c:v>
                </c:pt>
                <c:pt idx="135">
                  <c:v>1.42</c:v>
                </c:pt>
                <c:pt idx="136">
                  <c:v>1.33</c:v>
                </c:pt>
                <c:pt idx="137">
                  <c:v>1.42</c:v>
                </c:pt>
                <c:pt idx="138">
                  <c:v>1.26</c:v>
                </c:pt>
                <c:pt idx="139">
                  <c:v>1.3</c:v>
                </c:pt>
                <c:pt idx="140">
                  <c:v>1.37</c:v>
                </c:pt>
                <c:pt idx="141">
                  <c:v>1.72</c:v>
                </c:pt>
                <c:pt idx="142">
                  <c:v>1.29</c:v>
                </c:pt>
                <c:pt idx="143">
                  <c:v>1.28</c:v>
                </c:pt>
                <c:pt idx="144">
                  <c:v>1.49</c:v>
                </c:pt>
                <c:pt idx="145">
                  <c:v>1.68</c:v>
                </c:pt>
                <c:pt idx="146">
                  <c:v>1.4</c:v>
                </c:pt>
                <c:pt idx="147">
                  <c:v>1.46</c:v>
                </c:pt>
                <c:pt idx="148">
                  <c:v>1.35</c:v>
                </c:pt>
                <c:pt idx="149">
                  <c:v>1.29</c:v>
                </c:pt>
                <c:pt idx="150">
                  <c:v>1.55</c:v>
                </c:pt>
                <c:pt idx="151">
                  <c:v>1.28</c:v>
                </c:pt>
                <c:pt idx="152">
                  <c:v>1.35</c:v>
                </c:pt>
                <c:pt idx="153">
                  <c:v>1.42</c:v>
                </c:pt>
                <c:pt idx="154">
                  <c:v>1.33</c:v>
                </c:pt>
                <c:pt idx="155">
                  <c:v>1.28</c:v>
                </c:pt>
                <c:pt idx="156">
                  <c:v>1.53</c:v>
                </c:pt>
                <c:pt idx="157">
                  <c:v>1.28</c:v>
                </c:pt>
                <c:pt idx="158">
                  <c:v>1.56</c:v>
                </c:pt>
                <c:pt idx="159">
                  <c:v>1.32</c:v>
                </c:pt>
                <c:pt idx="160">
                  <c:v>1.32</c:v>
                </c:pt>
                <c:pt idx="161">
                  <c:v>1.18</c:v>
                </c:pt>
                <c:pt idx="162">
                  <c:v>1.3</c:v>
                </c:pt>
                <c:pt idx="163">
                  <c:v>1.84</c:v>
                </c:pt>
                <c:pt idx="164">
                  <c:v>1.8</c:v>
                </c:pt>
                <c:pt idx="165">
                  <c:v>1.56</c:v>
                </c:pt>
                <c:pt idx="166">
                  <c:v>1.56</c:v>
                </c:pt>
                <c:pt idx="167">
                  <c:v>1.36</c:v>
                </c:pt>
                <c:pt idx="168">
                  <c:v>1.33</c:v>
                </c:pt>
                <c:pt idx="169">
                  <c:v>1.52</c:v>
                </c:pt>
                <c:pt idx="170">
                  <c:v>1.66</c:v>
                </c:pt>
                <c:pt idx="171">
                  <c:v>1.53</c:v>
                </c:pt>
                <c:pt idx="172">
                  <c:v>1.38</c:v>
                </c:pt>
                <c:pt idx="173">
                  <c:v>1.47</c:v>
                </c:pt>
                <c:pt idx="174">
                  <c:v>1.78</c:v>
                </c:pt>
                <c:pt idx="175">
                  <c:v>1.26</c:v>
                </c:pt>
                <c:pt idx="176">
                  <c:v>1.54</c:v>
                </c:pt>
                <c:pt idx="177">
                  <c:v>1.3</c:v>
                </c:pt>
                <c:pt idx="178">
                  <c:v>1.29</c:v>
                </c:pt>
                <c:pt idx="179">
                  <c:v>1.58</c:v>
                </c:pt>
                <c:pt idx="180">
                  <c:v>1.31</c:v>
                </c:pt>
                <c:pt idx="181">
                  <c:v>1.34</c:v>
                </c:pt>
                <c:pt idx="182">
                  <c:v>1.42</c:v>
                </c:pt>
                <c:pt idx="183">
                  <c:v>1.52</c:v>
                </c:pt>
              </c:numCache>
            </c:numRef>
          </c:xVal>
          <c:yVal>
            <c:numRef>
              <c:f>StataData!$BI$2:$BI$185</c:f>
              <c:numCache>
                <c:formatCode>General</c:formatCode>
                <c:ptCount val="184"/>
                <c:pt idx="0">
                  <c:v>27.47931</c:v>
                </c:pt>
                <c:pt idx="1">
                  <c:v>30.44209</c:v>
                </c:pt>
                <c:pt idx="2">
                  <c:v>25.41279</c:v>
                </c:pt>
                <c:pt idx="3">
                  <c:v>23.84782</c:v>
                </c:pt>
                <c:pt idx="4">
                  <c:v>18.15101</c:v>
                </c:pt>
                <c:pt idx="5">
                  <c:v>18.35315</c:v>
                </c:pt>
                <c:pt idx="6">
                  <c:v>20.21851</c:v>
                </c:pt>
                <c:pt idx="7">
                  <c:v>24.47108</c:v>
                </c:pt>
                <c:pt idx="8">
                  <c:v>24.16176</c:v>
                </c:pt>
                <c:pt idx="9">
                  <c:v>24.102</c:v>
                </c:pt>
                <c:pt idx="10">
                  <c:v>32.66854</c:v>
                </c:pt>
                <c:pt idx="11">
                  <c:v>25.67901</c:v>
                </c:pt>
                <c:pt idx="12">
                  <c:v>26.5488</c:v>
                </c:pt>
                <c:pt idx="13">
                  <c:v>26.93548</c:v>
                </c:pt>
                <c:pt idx="14">
                  <c:v>20.19812</c:v>
                </c:pt>
                <c:pt idx="15">
                  <c:v>22.73826</c:v>
                </c:pt>
                <c:pt idx="16">
                  <c:v>23.86482</c:v>
                </c:pt>
                <c:pt idx="17">
                  <c:v>32.09904</c:v>
                </c:pt>
                <c:pt idx="18">
                  <c:v>22.38064</c:v>
                </c:pt>
                <c:pt idx="19">
                  <c:v>28.66876</c:v>
                </c:pt>
                <c:pt idx="20">
                  <c:v>28.00143</c:v>
                </c:pt>
                <c:pt idx="21">
                  <c:v>25.02558</c:v>
                </c:pt>
                <c:pt idx="22">
                  <c:v>29.93849</c:v>
                </c:pt>
                <c:pt idx="23">
                  <c:v>27.51105</c:v>
                </c:pt>
                <c:pt idx="24">
                  <c:v>28.16775</c:v>
                </c:pt>
                <c:pt idx="25">
                  <c:v>23.93929</c:v>
                </c:pt>
                <c:pt idx="26">
                  <c:v>24.35162</c:v>
                </c:pt>
                <c:pt idx="27">
                  <c:v>27.49502</c:v>
                </c:pt>
                <c:pt idx="28">
                  <c:v>38.22222</c:v>
                </c:pt>
                <c:pt idx="29">
                  <c:v>26.95971</c:v>
                </c:pt>
                <c:pt idx="30">
                  <c:v>20.84697</c:v>
                </c:pt>
                <c:pt idx="31">
                  <c:v>26.09281</c:v>
                </c:pt>
                <c:pt idx="32">
                  <c:v>27.95207</c:v>
                </c:pt>
                <c:pt idx="33">
                  <c:v>25.73387</c:v>
                </c:pt>
                <c:pt idx="34">
                  <c:v>24.1297</c:v>
                </c:pt>
                <c:pt idx="35">
                  <c:v>21.84362</c:v>
                </c:pt>
                <c:pt idx="36">
                  <c:v>27.63123</c:v>
                </c:pt>
                <c:pt idx="37">
                  <c:v>29.46672</c:v>
                </c:pt>
                <c:pt idx="38">
                  <c:v>27.60035</c:v>
                </c:pt>
                <c:pt idx="39">
                  <c:v>23.69565</c:v>
                </c:pt>
                <c:pt idx="40">
                  <c:v>25.08772</c:v>
                </c:pt>
                <c:pt idx="41">
                  <c:v>27.88026</c:v>
                </c:pt>
                <c:pt idx="42">
                  <c:v>22.37887</c:v>
                </c:pt>
                <c:pt idx="43">
                  <c:v>34.90987</c:v>
                </c:pt>
                <c:pt idx="44">
                  <c:v>20.72306</c:v>
                </c:pt>
                <c:pt idx="45">
                  <c:v>20.37152</c:v>
                </c:pt>
                <c:pt idx="46">
                  <c:v>27.50958</c:v>
                </c:pt>
                <c:pt idx="47">
                  <c:v>24.11932</c:v>
                </c:pt>
                <c:pt idx="48">
                  <c:v>23.94636</c:v>
                </c:pt>
                <c:pt idx="49">
                  <c:v>22.20345</c:v>
                </c:pt>
                <c:pt idx="50">
                  <c:v>19.07401</c:v>
                </c:pt>
                <c:pt idx="51">
                  <c:v>25.30614</c:v>
                </c:pt>
                <c:pt idx="52">
                  <c:v>26.28407</c:v>
                </c:pt>
                <c:pt idx="53">
                  <c:v>21.96902</c:v>
                </c:pt>
                <c:pt idx="54">
                  <c:v>18.95349</c:v>
                </c:pt>
                <c:pt idx="55">
                  <c:v>19.63996</c:v>
                </c:pt>
                <c:pt idx="56">
                  <c:v>25.14868</c:v>
                </c:pt>
                <c:pt idx="57">
                  <c:v>33.38107</c:v>
                </c:pt>
                <c:pt idx="58">
                  <c:v>25.90517</c:v>
                </c:pt>
                <c:pt idx="59">
                  <c:v>24.62466</c:v>
                </c:pt>
                <c:pt idx="60">
                  <c:v>24.01274</c:v>
                </c:pt>
                <c:pt idx="61">
                  <c:v>30.04026</c:v>
                </c:pt>
                <c:pt idx="62">
                  <c:v>25.49091</c:v>
                </c:pt>
                <c:pt idx="63">
                  <c:v>24.73684</c:v>
                </c:pt>
                <c:pt idx="64">
                  <c:v>26.98135</c:v>
                </c:pt>
                <c:pt idx="65">
                  <c:v>24.86667</c:v>
                </c:pt>
                <c:pt idx="66">
                  <c:v>29.43005</c:v>
                </c:pt>
                <c:pt idx="67">
                  <c:v>29.02719</c:v>
                </c:pt>
                <c:pt idx="68">
                  <c:v>21.96605</c:v>
                </c:pt>
                <c:pt idx="69">
                  <c:v>25.93662</c:v>
                </c:pt>
                <c:pt idx="70">
                  <c:v>30.61111</c:v>
                </c:pt>
                <c:pt idx="71">
                  <c:v>31.6826</c:v>
                </c:pt>
                <c:pt idx="72">
                  <c:v>20.11541</c:v>
                </c:pt>
                <c:pt idx="73">
                  <c:v>28.72535</c:v>
                </c:pt>
                <c:pt idx="74">
                  <c:v>29.11271</c:v>
                </c:pt>
                <c:pt idx="75">
                  <c:v>22.17776</c:v>
                </c:pt>
                <c:pt idx="76">
                  <c:v>21.94181</c:v>
                </c:pt>
                <c:pt idx="77">
                  <c:v>25.30848</c:v>
                </c:pt>
                <c:pt idx="78">
                  <c:v>23.13651</c:v>
                </c:pt>
                <c:pt idx="79">
                  <c:v>26.80159</c:v>
                </c:pt>
                <c:pt idx="80">
                  <c:v>24.27406</c:v>
                </c:pt>
                <c:pt idx="81">
                  <c:v>26.97143</c:v>
                </c:pt>
                <c:pt idx="82">
                  <c:v>23.64298</c:v>
                </c:pt>
                <c:pt idx="83">
                  <c:v>24.5927</c:v>
                </c:pt>
                <c:pt idx="84">
                  <c:v>24.70126</c:v>
                </c:pt>
                <c:pt idx="85">
                  <c:v>18.51195</c:v>
                </c:pt>
                <c:pt idx="86">
                  <c:v>21.90217</c:v>
                </c:pt>
                <c:pt idx="87">
                  <c:v>26.67302</c:v>
                </c:pt>
                <c:pt idx="88">
                  <c:v>32.90814</c:v>
                </c:pt>
                <c:pt idx="89">
                  <c:v>20.64633</c:v>
                </c:pt>
                <c:pt idx="90">
                  <c:v>23.6128</c:v>
                </c:pt>
                <c:pt idx="91">
                  <c:v>25.30449</c:v>
                </c:pt>
                <c:pt idx="92">
                  <c:v>21.91936</c:v>
                </c:pt>
                <c:pt idx="93">
                  <c:v>24.07095</c:v>
                </c:pt>
                <c:pt idx="94">
                  <c:v>25.53589</c:v>
                </c:pt>
                <c:pt idx="95">
                  <c:v>23.21131</c:v>
                </c:pt>
                <c:pt idx="96">
                  <c:v>22.56123</c:v>
                </c:pt>
                <c:pt idx="97">
                  <c:v>29.4382</c:v>
                </c:pt>
                <c:pt idx="98">
                  <c:v>24.83421</c:v>
                </c:pt>
                <c:pt idx="99">
                  <c:v>30.63471</c:v>
                </c:pt>
                <c:pt idx="100">
                  <c:v>28.29268</c:v>
                </c:pt>
                <c:pt idx="101">
                  <c:v>20.181</c:v>
                </c:pt>
                <c:pt idx="102">
                  <c:v>24.9137</c:v>
                </c:pt>
                <c:pt idx="103">
                  <c:v>18.8961</c:v>
                </c:pt>
                <c:pt idx="104">
                  <c:v>19.30581</c:v>
                </c:pt>
                <c:pt idx="105">
                  <c:v>21.66667</c:v>
                </c:pt>
                <c:pt idx="106">
                  <c:v>21.72159</c:v>
                </c:pt>
                <c:pt idx="107">
                  <c:v>24.24731</c:v>
                </c:pt>
                <c:pt idx="108">
                  <c:v>20.90657</c:v>
                </c:pt>
                <c:pt idx="109">
                  <c:v>30.05218</c:v>
                </c:pt>
                <c:pt idx="110">
                  <c:v>29.92056</c:v>
                </c:pt>
                <c:pt idx="111">
                  <c:v>22.54562</c:v>
                </c:pt>
                <c:pt idx="112">
                  <c:v>19.8288</c:v>
                </c:pt>
                <c:pt idx="113">
                  <c:v>27.2956</c:v>
                </c:pt>
                <c:pt idx="114">
                  <c:v>21.58316</c:v>
                </c:pt>
                <c:pt idx="115">
                  <c:v>26.58031</c:v>
                </c:pt>
                <c:pt idx="116">
                  <c:v>27.79644</c:v>
                </c:pt>
                <c:pt idx="117">
                  <c:v>24.10728</c:v>
                </c:pt>
                <c:pt idx="118">
                  <c:v>32.73758</c:v>
                </c:pt>
                <c:pt idx="119">
                  <c:v>25.40322</c:v>
                </c:pt>
                <c:pt idx="120">
                  <c:v>21.30099</c:v>
                </c:pt>
                <c:pt idx="121">
                  <c:v>23.86869</c:v>
                </c:pt>
                <c:pt idx="122">
                  <c:v>24.03157</c:v>
                </c:pt>
                <c:pt idx="123">
                  <c:v>21.52909</c:v>
                </c:pt>
                <c:pt idx="124">
                  <c:v>23.84483</c:v>
                </c:pt>
                <c:pt idx="125">
                  <c:v>24.84848</c:v>
                </c:pt>
                <c:pt idx="126">
                  <c:v>39.12845</c:v>
                </c:pt>
                <c:pt idx="127">
                  <c:v>21.31609</c:v>
                </c:pt>
                <c:pt idx="128">
                  <c:v>22.20649</c:v>
                </c:pt>
                <c:pt idx="129">
                  <c:v>25.49536</c:v>
                </c:pt>
                <c:pt idx="130">
                  <c:v>24.45156</c:v>
                </c:pt>
                <c:pt idx="131">
                  <c:v>23.09633</c:v>
                </c:pt>
                <c:pt idx="132">
                  <c:v>23.0281</c:v>
                </c:pt>
                <c:pt idx="133">
                  <c:v>23.99673</c:v>
                </c:pt>
                <c:pt idx="134">
                  <c:v>30.1217</c:v>
                </c:pt>
                <c:pt idx="135">
                  <c:v>22.58865</c:v>
                </c:pt>
                <c:pt idx="136">
                  <c:v>27.63081</c:v>
                </c:pt>
                <c:pt idx="137">
                  <c:v>30.77432</c:v>
                </c:pt>
                <c:pt idx="138">
                  <c:v>20.61141</c:v>
                </c:pt>
                <c:pt idx="139">
                  <c:v>21.84786</c:v>
                </c:pt>
                <c:pt idx="140">
                  <c:v>28.8</c:v>
                </c:pt>
                <c:pt idx="141">
                  <c:v>27.71069</c:v>
                </c:pt>
                <c:pt idx="142">
                  <c:v>24.43215</c:v>
                </c:pt>
                <c:pt idx="143">
                  <c:v>20.01281</c:v>
                </c:pt>
                <c:pt idx="144">
                  <c:v>30.99057</c:v>
                </c:pt>
                <c:pt idx="145">
                  <c:v>27.58838</c:v>
                </c:pt>
                <c:pt idx="146">
                  <c:v>24.83109</c:v>
                </c:pt>
                <c:pt idx="147">
                  <c:v>22.44898</c:v>
                </c:pt>
                <c:pt idx="148">
                  <c:v>22.05825</c:v>
                </c:pt>
                <c:pt idx="149">
                  <c:v>22.21737</c:v>
                </c:pt>
                <c:pt idx="150">
                  <c:v>26.88898</c:v>
                </c:pt>
                <c:pt idx="151">
                  <c:v>19.38588</c:v>
                </c:pt>
                <c:pt idx="152">
                  <c:v>24.30364</c:v>
                </c:pt>
                <c:pt idx="153">
                  <c:v>26.43043</c:v>
                </c:pt>
                <c:pt idx="154">
                  <c:v>30.16414</c:v>
                </c:pt>
                <c:pt idx="155">
                  <c:v>19.45657</c:v>
                </c:pt>
                <c:pt idx="156">
                  <c:v>30.51639</c:v>
                </c:pt>
                <c:pt idx="157">
                  <c:v>35.88356</c:v>
                </c:pt>
                <c:pt idx="158">
                  <c:v>24.78799</c:v>
                </c:pt>
                <c:pt idx="159">
                  <c:v>19.50211</c:v>
                </c:pt>
                <c:pt idx="160">
                  <c:v>26.49215</c:v>
                </c:pt>
                <c:pt idx="161">
                  <c:v>21.05894</c:v>
                </c:pt>
                <c:pt idx="162">
                  <c:v>25.77336</c:v>
                </c:pt>
                <c:pt idx="163">
                  <c:v>26.51406</c:v>
                </c:pt>
                <c:pt idx="164">
                  <c:v>18.71728</c:v>
                </c:pt>
                <c:pt idx="165">
                  <c:v>26.08091</c:v>
                </c:pt>
                <c:pt idx="166">
                  <c:v>22.61365</c:v>
                </c:pt>
                <c:pt idx="167">
                  <c:v>22.84861</c:v>
                </c:pt>
                <c:pt idx="168">
                  <c:v>23.49294</c:v>
                </c:pt>
                <c:pt idx="169">
                  <c:v>28.28751</c:v>
                </c:pt>
                <c:pt idx="170">
                  <c:v>27.25182</c:v>
                </c:pt>
                <c:pt idx="171">
                  <c:v>28.71632</c:v>
                </c:pt>
                <c:pt idx="172">
                  <c:v>26.93676</c:v>
                </c:pt>
                <c:pt idx="173">
                  <c:v>28.00837</c:v>
                </c:pt>
                <c:pt idx="174">
                  <c:v>29.73565</c:v>
                </c:pt>
                <c:pt idx="175">
                  <c:v>21.06614</c:v>
                </c:pt>
                <c:pt idx="176">
                  <c:v>23.1635</c:v>
                </c:pt>
                <c:pt idx="177">
                  <c:v>20.08118</c:v>
                </c:pt>
                <c:pt idx="178">
                  <c:v>22.13262</c:v>
                </c:pt>
                <c:pt idx="179">
                  <c:v>24.34746</c:v>
                </c:pt>
                <c:pt idx="180">
                  <c:v>20.86572</c:v>
                </c:pt>
                <c:pt idx="181">
                  <c:v>23.86683</c:v>
                </c:pt>
                <c:pt idx="182">
                  <c:v>26.19205</c:v>
                </c:pt>
                <c:pt idx="183">
                  <c:v>26.36682</c:v>
                </c:pt>
              </c:numCache>
            </c:numRef>
          </c:yVal>
        </c:ser>
        <c:axId val="565751608"/>
        <c:axId val="565734024"/>
      </c:scatterChart>
      <c:valAx>
        <c:axId val="565751608"/>
        <c:scaling>
          <c:orientation val="minMax"/>
          <c:min val="1.0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Circuity</a:t>
                </a:r>
              </a:p>
            </c:rich>
          </c:tx>
        </c:title>
        <c:numFmt formatCode="General" sourceLinked="1"/>
        <c:tickLblPos val="nextTo"/>
        <c:crossAx val="565734024"/>
        <c:crosses val="autoZero"/>
        <c:crossBetween val="midCat"/>
      </c:valAx>
      <c:valAx>
        <c:axId val="565734024"/>
        <c:scaling>
          <c:orientation val="minMax"/>
          <c:min val="15.0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Average Travel Time</a:t>
                </a:r>
              </a:p>
            </c:rich>
          </c:tx>
        </c:title>
        <c:numFmt formatCode="General" sourceLinked="1"/>
        <c:tickLblPos val="nextTo"/>
        <c:crossAx val="565751608"/>
        <c:crosses val="autoZero"/>
        <c:crossBetween val="midCat"/>
      </c:valAx>
    </c:plotArea>
    <c:plotVisOnly val="1"/>
  </c:char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US"/>
  <c:style val="12"/>
  <c:chart>
    <c:title>
      <c:tx>
        <c:rich>
          <a:bodyPr/>
          <a:lstStyle/>
          <a:p>
            <a:pPr>
              <a:defRPr/>
            </a:pPr>
            <a:r>
              <a:rPr lang="en-US"/>
              <a:t>Average Travel Time (min) vs. Entropy measure</a:t>
            </a:r>
          </a:p>
        </c:rich>
      </c:tx>
    </c:title>
    <c:plotArea>
      <c:layout/>
      <c:scatterChart>
        <c:scatterStyle val="lineMarker"/>
        <c:ser>
          <c:idx val="0"/>
          <c:order val="0"/>
          <c:tx>
            <c:strRef>
              <c:f>StataData!$BI$1</c:f>
              <c:strCache>
                <c:ptCount val="1"/>
                <c:pt idx="0">
                  <c:v>avg_tt</c:v>
                </c:pt>
              </c:strCache>
            </c:strRef>
          </c:tx>
          <c:spPr>
            <a:ln w="47625">
              <a:noFill/>
            </a:ln>
          </c:spPr>
          <c:marker>
            <c:symbol val="circle"/>
            <c:size val="6"/>
          </c:marker>
          <c:trendline>
            <c:trendlineType val="linear"/>
            <c:dispRSqr val="1"/>
            <c:dispEq val="1"/>
            <c:trendlineLbl>
              <c:layout>
                <c:manualLayout>
                  <c:x val="0.0272750072907553"/>
                  <c:y val="0.0803147934324864"/>
                </c:manualLayout>
              </c:layout>
              <c:numFmt formatCode="General" sourceLinked="0"/>
            </c:trendlineLbl>
          </c:trendline>
          <c:xVal>
            <c:numRef>
              <c:f>StataData!$AE$2:$AE$185</c:f>
              <c:numCache>
                <c:formatCode>General</c:formatCode>
                <c:ptCount val="184"/>
                <c:pt idx="0">
                  <c:v>0.54</c:v>
                </c:pt>
                <c:pt idx="1">
                  <c:v>0.07</c:v>
                </c:pt>
                <c:pt idx="2">
                  <c:v>0.67</c:v>
                </c:pt>
                <c:pt idx="3">
                  <c:v>0.35</c:v>
                </c:pt>
                <c:pt idx="4">
                  <c:v>0.98</c:v>
                </c:pt>
                <c:pt idx="5">
                  <c:v>0.61</c:v>
                </c:pt>
                <c:pt idx="6">
                  <c:v>0.27</c:v>
                </c:pt>
                <c:pt idx="7">
                  <c:v>0.39</c:v>
                </c:pt>
                <c:pt idx="8">
                  <c:v>0.56</c:v>
                </c:pt>
                <c:pt idx="9">
                  <c:v>0.97</c:v>
                </c:pt>
                <c:pt idx="10">
                  <c:v>0.0</c:v>
                </c:pt>
                <c:pt idx="11">
                  <c:v>0.0</c:v>
                </c:pt>
                <c:pt idx="12">
                  <c:v>0.45</c:v>
                </c:pt>
                <c:pt idx="13">
                  <c:v>0.96</c:v>
                </c:pt>
                <c:pt idx="14">
                  <c:v>0.4</c:v>
                </c:pt>
                <c:pt idx="15">
                  <c:v>0.73</c:v>
                </c:pt>
                <c:pt idx="16">
                  <c:v>0.36</c:v>
                </c:pt>
                <c:pt idx="17">
                  <c:v>0.57</c:v>
                </c:pt>
                <c:pt idx="18">
                  <c:v>0.68</c:v>
                </c:pt>
                <c:pt idx="19">
                  <c:v>1.02</c:v>
                </c:pt>
                <c:pt idx="20">
                  <c:v>0.74</c:v>
                </c:pt>
                <c:pt idx="21">
                  <c:v>0.83</c:v>
                </c:pt>
                <c:pt idx="22">
                  <c:v>0.55</c:v>
                </c:pt>
                <c:pt idx="23">
                  <c:v>0.3</c:v>
                </c:pt>
                <c:pt idx="24">
                  <c:v>0.18</c:v>
                </c:pt>
                <c:pt idx="25">
                  <c:v>0.77</c:v>
                </c:pt>
                <c:pt idx="26">
                  <c:v>0.63</c:v>
                </c:pt>
                <c:pt idx="27">
                  <c:v>0.0</c:v>
                </c:pt>
                <c:pt idx="28">
                  <c:v>0.87</c:v>
                </c:pt>
                <c:pt idx="29">
                  <c:v>0.61</c:v>
                </c:pt>
                <c:pt idx="30">
                  <c:v>0.23</c:v>
                </c:pt>
                <c:pt idx="31">
                  <c:v>0.42</c:v>
                </c:pt>
                <c:pt idx="32">
                  <c:v>0.15</c:v>
                </c:pt>
                <c:pt idx="33">
                  <c:v>0.67</c:v>
                </c:pt>
                <c:pt idx="34">
                  <c:v>0.0</c:v>
                </c:pt>
                <c:pt idx="35">
                  <c:v>0.16</c:v>
                </c:pt>
                <c:pt idx="36">
                  <c:v>0.96</c:v>
                </c:pt>
                <c:pt idx="37">
                  <c:v>0.13</c:v>
                </c:pt>
                <c:pt idx="38">
                  <c:v>0.07</c:v>
                </c:pt>
                <c:pt idx="39">
                  <c:v>0.45</c:v>
                </c:pt>
                <c:pt idx="40">
                  <c:v>0.9</c:v>
                </c:pt>
                <c:pt idx="41">
                  <c:v>0.52</c:v>
                </c:pt>
                <c:pt idx="42">
                  <c:v>0.67</c:v>
                </c:pt>
                <c:pt idx="43">
                  <c:v>0.33</c:v>
                </c:pt>
                <c:pt idx="44">
                  <c:v>0.78</c:v>
                </c:pt>
                <c:pt idx="45">
                  <c:v>0.52</c:v>
                </c:pt>
                <c:pt idx="46">
                  <c:v>0.0</c:v>
                </c:pt>
                <c:pt idx="47">
                  <c:v>0.83</c:v>
                </c:pt>
                <c:pt idx="48">
                  <c:v>0.38</c:v>
                </c:pt>
                <c:pt idx="49">
                  <c:v>0.33</c:v>
                </c:pt>
                <c:pt idx="50">
                  <c:v>0.38</c:v>
                </c:pt>
                <c:pt idx="51">
                  <c:v>0.21</c:v>
                </c:pt>
                <c:pt idx="52">
                  <c:v>0.92</c:v>
                </c:pt>
                <c:pt idx="53">
                  <c:v>0.6</c:v>
                </c:pt>
                <c:pt idx="54">
                  <c:v>0.6</c:v>
                </c:pt>
                <c:pt idx="55">
                  <c:v>0.75</c:v>
                </c:pt>
                <c:pt idx="56">
                  <c:v>0.29</c:v>
                </c:pt>
                <c:pt idx="57">
                  <c:v>0.54</c:v>
                </c:pt>
                <c:pt idx="58">
                  <c:v>0.42</c:v>
                </c:pt>
                <c:pt idx="59">
                  <c:v>0.28</c:v>
                </c:pt>
                <c:pt idx="60">
                  <c:v>0.0</c:v>
                </c:pt>
                <c:pt idx="61">
                  <c:v>0.25</c:v>
                </c:pt>
                <c:pt idx="62">
                  <c:v>0.13</c:v>
                </c:pt>
                <c:pt idx="63">
                  <c:v>1.02</c:v>
                </c:pt>
                <c:pt idx="64">
                  <c:v>1.07</c:v>
                </c:pt>
                <c:pt idx="65">
                  <c:v>0.61</c:v>
                </c:pt>
                <c:pt idx="66">
                  <c:v>0.0</c:v>
                </c:pt>
                <c:pt idx="67">
                  <c:v>0.13</c:v>
                </c:pt>
                <c:pt idx="68">
                  <c:v>0.37</c:v>
                </c:pt>
                <c:pt idx="69">
                  <c:v>0.36</c:v>
                </c:pt>
                <c:pt idx="70">
                  <c:v>0.75</c:v>
                </c:pt>
                <c:pt idx="71">
                  <c:v>0.9</c:v>
                </c:pt>
                <c:pt idx="72">
                  <c:v>0.49</c:v>
                </c:pt>
                <c:pt idx="73">
                  <c:v>0.31</c:v>
                </c:pt>
                <c:pt idx="74">
                  <c:v>0.56</c:v>
                </c:pt>
                <c:pt idx="75">
                  <c:v>0.83</c:v>
                </c:pt>
                <c:pt idx="76">
                  <c:v>0.94</c:v>
                </c:pt>
                <c:pt idx="77">
                  <c:v>0.22</c:v>
                </c:pt>
                <c:pt idx="78">
                  <c:v>0.74</c:v>
                </c:pt>
                <c:pt idx="79">
                  <c:v>0.47</c:v>
                </c:pt>
                <c:pt idx="80">
                  <c:v>1.24</c:v>
                </c:pt>
                <c:pt idx="81">
                  <c:v>0.66</c:v>
                </c:pt>
                <c:pt idx="82">
                  <c:v>0.82</c:v>
                </c:pt>
                <c:pt idx="83">
                  <c:v>0.29</c:v>
                </c:pt>
                <c:pt idx="84">
                  <c:v>0.6</c:v>
                </c:pt>
                <c:pt idx="85">
                  <c:v>0.38</c:v>
                </c:pt>
                <c:pt idx="86">
                  <c:v>0.29</c:v>
                </c:pt>
                <c:pt idx="87">
                  <c:v>0.47</c:v>
                </c:pt>
                <c:pt idx="88">
                  <c:v>0.0</c:v>
                </c:pt>
                <c:pt idx="89">
                  <c:v>1.04</c:v>
                </c:pt>
                <c:pt idx="90">
                  <c:v>0.79</c:v>
                </c:pt>
                <c:pt idx="91">
                  <c:v>0.0</c:v>
                </c:pt>
                <c:pt idx="92">
                  <c:v>0.44</c:v>
                </c:pt>
                <c:pt idx="93">
                  <c:v>0.32</c:v>
                </c:pt>
                <c:pt idx="94">
                  <c:v>0.43</c:v>
                </c:pt>
                <c:pt idx="95">
                  <c:v>0.81</c:v>
                </c:pt>
                <c:pt idx="96">
                  <c:v>0.74</c:v>
                </c:pt>
                <c:pt idx="97">
                  <c:v>0.89</c:v>
                </c:pt>
                <c:pt idx="98">
                  <c:v>0.65</c:v>
                </c:pt>
                <c:pt idx="99">
                  <c:v>0.31</c:v>
                </c:pt>
                <c:pt idx="100">
                  <c:v>0.93</c:v>
                </c:pt>
                <c:pt idx="101">
                  <c:v>0.0</c:v>
                </c:pt>
                <c:pt idx="102">
                  <c:v>0.9</c:v>
                </c:pt>
                <c:pt idx="103">
                  <c:v>1.16</c:v>
                </c:pt>
                <c:pt idx="104">
                  <c:v>1.16</c:v>
                </c:pt>
                <c:pt idx="105">
                  <c:v>1.49</c:v>
                </c:pt>
                <c:pt idx="106">
                  <c:v>0.53</c:v>
                </c:pt>
                <c:pt idx="107">
                  <c:v>0.12</c:v>
                </c:pt>
                <c:pt idx="108">
                  <c:v>0.66</c:v>
                </c:pt>
                <c:pt idx="109">
                  <c:v>0.47</c:v>
                </c:pt>
                <c:pt idx="110">
                  <c:v>0.0</c:v>
                </c:pt>
                <c:pt idx="111">
                  <c:v>0.67</c:v>
                </c:pt>
                <c:pt idx="112">
                  <c:v>0.51</c:v>
                </c:pt>
                <c:pt idx="113">
                  <c:v>0.23</c:v>
                </c:pt>
                <c:pt idx="114">
                  <c:v>0.49</c:v>
                </c:pt>
                <c:pt idx="115">
                  <c:v>0.0</c:v>
                </c:pt>
                <c:pt idx="116">
                  <c:v>0.42</c:v>
                </c:pt>
                <c:pt idx="117">
                  <c:v>0.37</c:v>
                </c:pt>
                <c:pt idx="118">
                  <c:v>0.5</c:v>
                </c:pt>
                <c:pt idx="119">
                  <c:v>0.0</c:v>
                </c:pt>
                <c:pt idx="120">
                  <c:v>0.87</c:v>
                </c:pt>
                <c:pt idx="121">
                  <c:v>0.74</c:v>
                </c:pt>
                <c:pt idx="122">
                  <c:v>0.02</c:v>
                </c:pt>
                <c:pt idx="123">
                  <c:v>0.39</c:v>
                </c:pt>
                <c:pt idx="124">
                  <c:v>0.0</c:v>
                </c:pt>
                <c:pt idx="125">
                  <c:v>0.48</c:v>
                </c:pt>
                <c:pt idx="126">
                  <c:v>0.1</c:v>
                </c:pt>
                <c:pt idx="127">
                  <c:v>0.79</c:v>
                </c:pt>
                <c:pt idx="128">
                  <c:v>0.74</c:v>
                </c:pt>
                <c:pt idx="129">
                  <c:v>0.6</c:v>
                </c:pt>
                <c:pt idx="130">
                  <c:v>0.62</c:v>
                </c:pt>
                <c:pt idx="131">
                  <c:v>1.43</c:v>
                </c:pt>
                <c:pt idx="132">
                  <c:v>0.59</c:v>
                </c:pt>
                <c:pt idx="133">
                  <c:v>0.31</c:v>
                </c:pt>
                <c:pt idx="134">
                  <c:v>0.44</c:v>
                </c:pt>
                <c:pt idx="135">
                  <c:v>0.7</c:v>
                </c:pt>
                <c:pt idx="136">
                  <c:v>0.68</c:v>
                </c:pt>
                <c:pt idx="137">
                  <c:v>0.33</c:v>
                </c:pt>
                <c:pt idx="138">
                  <c:v>0.52</c:v>
                </c:pt>
                <c:pt idx="139">
                  <c:v>0.29</c:v>
                </c:pt>
                <c:pt idx="140">
                  <c:v>0.64</c:v>
                </c:pt>
                <c:pt idx="141">
                  <c:v>0.56</c:v>
                </c:pt>
                <c:pt idx="142">
                  <c:v>0.88</c:v>
                </c:pt>
                <c:pt idx="143">
                  <c:v>0.74</c:v>
                </c:pt>
                <c:pt idx="144">
                  <c:v>0.69</c:v>
                </c:pt>
                <c:pt idx="145">
                  <c:v>0.26</c:v>
                </c:pt>
                <c:pt idx="146">
                  <c:v>0.5</c:v>
                </c:pt>
                <c:pt idx="147">
                  <c:v>0.59</c:v>
                </c:pt>
                <c:pt idx="148">
                  <c:v>0.6</c:v>
                </c:pt>
                <c:pt idx="149">
                  <c:v>0.28</c:v>
                </c:pt>
                <c:pt idx="150">
                  <c:v>0.32</c:v>
                </c:pt>
                <c:pt idx="151">
                  <c:v>0.49</c:v>
                </c:pt>
                <c:pt idx="152">
                  <c:v>0.76</c:v>
                </c:pt>
                <c:pt idx="153">
                  <c:v>0.38</c:v>
                </c:pt>
                <c:pt idx="154">
                  <c:v>0.28</c:v>
                </c:pt>
                <c:pt idx="155">
                  <c:v>0.0</c:v>
                </c:pt>
                <c:pt idx="156">
                  <c:v>1.24</c:v>
                </c:pt>
                <c:pt idx="157">
                  <c:v>0.19</c:v>
                </c:pt>
                <c:pt idx="158">
                  <c:v>0.74</c:v>
                </c:pt>
                <c:pt idx="159">
                  <c:v>0.75</c:v>
                </c:pt>
                <c:pt idx="160">
                  <c:v>0.0</c:v>
                </c:pt>
                <c:pt idx="161">
                  <c:v>0.49</c:v>
                </c:pt>
                <c:pt idx="162">
                  <c:v>0.16</c:v>
                </c:pt>
                <c:pt idx="163">
                  <c:v>0.51</c:v>
                </c:pt>
                <c:pt idx="164">
                  <c:v>1.16</c:v>
                </c:pt>
                <c:pt idx="165">
                  <c:v>0.0</c:v>
                </c:pt>
                <c:pt idx="166">
                  <c:v>0.93</c:v>
                </c:pt>
                <c:pt idx="167">
                  <c:v>0.11</c:v>
                </c:pt>
                <c:pt idx="168">
                  <c:v>0.45</c:v>
                </c:pt>
                <c:pt idx="169">
                  <c:v>0.85</c:v>
                </c:pt>
                <c:pt idx="170">
                  <c:v>0.46</c:v>
                </c:pt>
                <c:pt idx="171">
                  <c:v>1.07</c:v>
                </c:pt>
                <c:pt idx="172">
                  <c:v>0.68</c:v>
                </c:pt>
                <c:pt idx="173">
                  <c:v>0.75</c:v>
                </c:pt>
                <c:pt idx="174">
                  <c:v>1.22</c:v>
                </c:pt>
                <c:pt idx="175">
                  <c:v>1.0</c:v>
                </c:pt>
                <c:pt idx="176">
                  <c:v>0.56</c:v>
                </c:pt>
                <c:pt idx="177">
                  <c:v>0.49</c:v>
                </c:pt>
                <c:pt idx="178">
                  <c:v>0.57</c:v>
                </c:pt>
                <c:pt idx="179">
                  <c:v>0.42</c:v>
                </c:pt>
                <c:pt idx="180">
                  <c:v>0.0</c:v>
                </c:pt>
                <c:pt idx="181">
                  <c:v>0.43</c:v>
                </c:pt>
                <c:pt idx="182">
                  <c:v>0.0</c:v>
                </c:pt>
                <c:pt idx="183">
                  <c:v>1.18</c:v>
                </c:pt>
              </c:numCache>
            </c:numRef>
          </c:xVal>
          <c:yVal>
            <c:numRef>
              <c:f>StataData!$BI$2:$BI$185</c:f>
              <c:numCache>
                <c:formatCode>General</c:formatCode>
                <c:ptCount val="184"/>
                <c:pt idx="0">
                  <c:v>27.47931</c:v>
                </c:pt>
                <c:pt idx="1">
                  <c:v>30.44209</c:v>
                </c:pt>
                <c:pt idx="2">
                  <c:v>25.41279</c:v>
                </c:pt>
                <c:pt idx="3">
                  <c:v>23.84782</c:v>
                </c:pt>
                <c:pt idx="4">
                  <c:v>18.15101</c:v>
                </c:pt>
                <c:pt idx="5">
                  <c:v>18.35315</c:v>
                </c:pt>
                <c:pt idx="6">
                  <c:v>20.21851</c:v>
                </c:pt>
                <c:pt idx="7">
                  <c:v>24.47108</c:v>
                </c:pt>
                <c:pt idx="8">
                  <c:v>24.16176</c:v>
                </c:pt>
                <c:pt idx="9">
                  <c:v>24.102</c:v>
                </c:pt>
                <c:pt idx="10">
                  <c:v>32.66854</c:v>
                </c:pt>
                <c:pt idx="11">
                  <c:v>25.67901</c:v>
                </c:pt>
                <c:pt idx="12">
                  <c:v>26.5488</c:v>
                </c:pt>
                <c:pt idx="13">
                  <c:v>26.93548</c:v>
                </c:pt>
                <c:pt idx="14">
                  <c:v>20.19812</c:v>
                </c:pt>
                <c:pt idx="15">
                  <c:v>22.73826</c:v>
                </c:pt>
                <c:pt idx="16">
                  <c:v>23.86482</c:v>
                </c:pt>
                <c:pt idx="17">
                  <c:v>32.09904</c:v>
                </c:pt>
                <c:pt idx="18">
                  <c:v>22.38064</c:v>
                </c:pt>
                <c:pt idx="19">
                  <c:v>28.66876</c:v>
                </c:pt>
                <c:pt idx="20">
                  <c:v>28.00143</c:v>
                </c:pt>
                <c:pt idx="21">
                  <c:v>25.02558</c:v>
                </c:pt>
                <c:pt idx="22">
                  <c:v>29.93849</c:v>
                </c:pt>
                <c:pt idx="23">
                  <c:v>27.51105</c:v>
                </c:pt>
                <c:pt idx="24">
                  <c:v>28.16775</c:v>
                </c:pt>
                <c:pt idx="25">
                  <c:v>23.93929</c:v>
                </c:pt>
                <c:pt idx="26">
                  <c:v>24.35162</c:v>
                </c:pt>
                <c:pt idx="27">
                  <c:v>27.49502</c:v>
                </c:pt>
                <c:pt idx="28">
                  <c:v>38.22222</c:v>
                </c:pt>
                <c:pt idx="29">
                  <c:v>26.95971</c:v>
                </c:pt>
                <c:pt idx="30">
                  <c:v>20.84697</c:v>
                </c:pt>
                <c:pt idx="31">
                  <c:v>26.09281</c:v>
                </c:pt>
                <c:pt idx="32">
                  <c:v>27.95207</c:v>
                </c:pt>
                <c:pt idx="33">
                  <c:v>25.73387</c:v>
                </c:pt>
                <c:pt idx="34">
                  <c:v>24.1297</c:v>
                </c:pt>
                <c:pt idx="35">
                  <c:v>21.84362</c:v>
                </c:pt>
                <c:pt idx="36">
                  <c:v>27.63123</c:v>
                </c:pt>
                <c:pt idx="37">
                  <c:v>29.46672</c:v>
                </c:pt>
                <c:pt idx="38">
                  <c:v>27.60035</c:v>
                </c:pt>
                <c:pt idx="39">
                  <c:v>23.69565</c:v>
                </c:pt>
                <c:pt idx="40">
                  <c:v>25.08772</c:v>
                </c:pt>
                <c:pt idx="41">
                  <c:v>27.88026</c:v>
                </c:pt>
                <c:pt idx="42">
                  <c:v>22.37887</c:v>
                </c:pt>
                <c:pt idx="43">
                  <c:v>34.90987</c:v>
                </c:pt>
                <c:pt idx="44">
                  <c:v>20.72306</c:v>
                </c:pt>
                <c:pt idx="45">
                  <c:v>20.37152</c:v>
                </c:pt>
                <c:pt idx="46">
                  <c:v>27.50958</c:v>
                </c:pt>
                <c:pt idx="47">
                  <c:v>24.11932</c:v>
                </c:pt>
                <c:pt idx="48">
                  <c:v>23.94636</c:v>
                </c:pt>
                <c:pt idx="49">
                  <c:v>22.20345</c:v>
                </c:pt>
                <c:pt idx="50">
                  <c:v>19.07401</c:v>
                </c:pt>
                <c:pt idx="51">
                  <c:v>25.30614</c:v>
                </c:pt>
                <c:pt idx="52">
                  <c:v>26.28407</c:v>
                </c:pt>
                <c:pt idx="53">
                  <c:v>21.96902</c:v>
                </c:pt>
                <c:pt idx="54">
                  <c:v>18.95349</c:v>
                </c:pt>
                <c:pt idx="55">
                  <c:v>19.63996</c:v>
                </c:pt>
                <c:pt idx="56">
                  <c:v>25.14868</c:v>
                </c:pt>
                <c:pt idx="57">
                  <c:v>33.38107</c:v>
                </c:pt>
                <c:pt idx="58">
                  <c:v>25.90517</c:v>
                </c:pt>
                <c:pt idx="59">
                  <c:v>24.62466</c:v>
                </c:pt>
                <c:pt idx="60">
                  <c:v>24.01274</c:v>
                </c:pt>
                <c:pt idx="61">
                  <c:v>30.04026</c:v>
                </c:pt>
                <c:pt idx="62">
                  <c:v>25.49091</c:v>
                </c:pt>
                <c:pt idx="63">
                  <c:v>24.73684</c:v>
                </c:pt>
                <c:pt idx="64">
                  <c:v>26.98135</c:v>
                </c:pt>
                <c:pt idx="65">
                  <c:v>24.86667</c:v>
                </c:pt>
                <c:pt idx="66">
                  <c:v>29.43005</c:v>
                </c:pt>
                <c:pt idx="67">
                  <c:v>29.02719</c:v>
                </c:pt>
                <c:pt idx="68">
                  <c:v>21.96605</c:v>
                </c:pt>
                <c:pt idx="69">
                  <c:v>25.93662</c:v>
                </c:pt>
                <c:pt idx="70">
                  <c:v>30.61111</c:v>
                </c:pt>
                <c:pt idx="71">
                  <c:v>31.6826</c:v>
                </c:pt>
                <c:pt idx="72">
                  <c:v>20.11541</c:v>
                </c:pt>
                <c:pt idx="73">
                  <c:v>28.72535</c:v>
                </c:pt>
                <c:pt idx="74">
                  <c:v>29.11271</c:v>
                </c:pt>
                <c:pt idx="75">
                  <c:v>22.17776</c:v>
                </c:pt>
                <c:pt idx="76">
                  <c:v>21.94181</c:v>
                </c:pt>
                <c:pt idx="77">
                  <c:v>25.30848</c:v>
                </c:pt>
                <c:pt idx="78">
                  <c:v>23.13651</c:v>
                </c:pt>
                <c:pt idx="79">
                  <c:v>26.80159</c:v>
                </c:pt>
                <c:pt idx="80">
                  <c:v>24.27406</c:v>
                </c:pt>
                <c:pt idx="81">
                  <c:v>26.97143</c:v>
                </c:pt>
                <c:pt idx="82">
                  <c:v>23.64298</c:v>
                </c:pt>
                <c:pt idx="83">
                  <c:v>24.5927</c:v>
                </c:pt>
                <c:pt idx="84">
                  <c:v>24.70126</c:v>
                </c:pt>
                <c:pt idx="85">
                  <c:v>18.51195</c:v>
                </c:pt>
                <c:pt idx="86">
                  <c:v>21.90217</c:v>
                </c:pt>
                <c:pt idx="87">
                  <c:v>26.67302</c:v>
                </c:pt>
                <c:pt idx="88">
                  <c:v>32.90814</c:v>
                </c:pt>
                <c:pt idx="89">
                  <c:v>20.64633</c:v>
                </c:pt>
                <c:pt idx="90">
                  <c:v>23.6128</c:v>
                </c:pt>
                <c:pt idx="91">
                  <c:v>25.30449</c:v>
                </c:pt>
                <c:pt idx="92">
                  <c:v>21.91936</c:v>
                </c:pt>
                <c:pt idx="93">
                  <c:v>24.07095</c:v>
                </c:pt>
                <c:pt idx="94">
                  <c:v>25.53589</c:v>
                </c:pt>
                <c:pt idx="95">
                  <c:v>23.21131</c:v>
                </c:pt>
                <c:pt idx="96">
                  <c:v>22.56123</c:v>
                </c:pt>
                <c:pt idx="97">
                  <c:v>29.4382</c:v>
                </c:pt>
                <c:pt idx="98">
                  <c:v>24.83421</c:v>
                </c:pt>
                <c:pt idx="99">
                  <c:v>30.63471</c:v>
                </c:pt>
                <c:pt idx="100">
                  <c:v>28.29268</c:v>
                </c:pt>
                <c:pt idx="101">
                  <c:v>20.181</c:v>
                </c:pt>
                <c:pt idx="102">
                  <c:v>24.9137</c:v>
                </c:pt>
                <c:pt idx="103">
                  <c:v>18.8961</c:v>
                </c:pt>
                <c:pt idx="104">
                  <c:v>19.30581</c:v>
                </c:pt>
                <c:pt idx="105">
                  <c:v>21.66667</c:v>
                </c:pt>
                <c:pt idx="106">
                  <c:v>21.72159</c:v>
                </c:pt>
                <c:pt idx="107">
                  <c:v>24.24731</c:v>
                </c:pt>
                <c:pt idx="108">
                  <c:v>20.90657</c:v>
                </c:pt>
                <c:pt idx="109">
                  <c:v>30.05218</c:v>
                </c:pt>
                <c:pt idx="110">
                  <c:v>29.92056</c:v>
                </c:pt>
                <c:pt idx="111">
                  <c:v>22.54562</c:v>
                </c:pt>
                <c:pt idx="112">
                  <c:v>19.8288</c:v>
                </c:pt>
                <c:pt idx="113">
                  <c:v>27.2956</c:v>
                </c:pt>
                <c:pt idx="114">
                  <c:v>21.58316</c:v>
                </c:pt>
                <c:pt idx="115">
                  <c:v>26.58031</c:v>
                </c:pt>
                <c:pt idx="116">
                  <c:v>27.79644</c:v>
                </c:pt>
                <c:pt idx="117">
                  <c:v>24.10728</c:v>
                </c:pt>
                <c:pt idx="118">
                  <c:v>32.73758</c:v>
                </c:pt>
                <c:pt idx="119">
                  <c:v>25.40322</c:v>
                </c:pt>
                <c:pt idx="120">
                  <c:v>21.30099</c:v>
                </c:pt>
                <c:pt idx="121">
                  <c:v>23.86869</c:v>
                </c:pt>
                <c:pt idx="122">
                  <c:v>24.03157</c:v>
                </c:pt>
                <c:pt idx="123">
                  <c:v>21.52909</c:v>
                </c:pt>
                <c:pt idx="124">
                  <c:v>23.84483</c:v>
                </c:pt>
                <c:pt idx="125">
                  <c:v>24.84848</c:v>
                </c:pt>
                <c:pt idx="126">
                  <c:v>39.12845</c:v>
                </c:pt>
                <c:pt idx="127">
                  <c:v>21.31609</c:v>
                </c:pt>
                <c:pt idx="128">
                  <c:v>22.20649</c:v>
                </c:pt>
                <c:pt idx="129">
                  <c:v>25.49536</c:v>
                </c:pt>
                <c:pt idx="130">
                  <c:v>24.45156</c:v>
                </c:pt>
                <c:pt idx="131">
                  <c:v>23.09633</c:v>
                </c:pt>
                <c:pt idx="132">
                  <c:v>23.0281</c:v>
                </c:pt>
                <c:pt idx="133">
                  <c:v>23.99673</c:v>
                </c:pt>
                <c:pt idx="134">
                  <c:v>30.1217</c:v>
                </c:pt>
                <c:pt idx="135">
                  <c:v>22.58865</c:v>
                </c:pt>
                <c:pt idx="136">
                  <c:v>27.63081</c:v>
                </c:pt>
                <c:pt idx="137">
                  <c:v>30.77432</c:v>
                </c:pt>
                <c:pt idx="138">
                  <c:v>20.61141</c:v>
                </c:pt>
                <c:pt idx="139">
                  <c:v>21.84786</c:v>
                </c:pt>
                <c:pt idx="140">
                  <c:v>28.8</c:v>
                </c:pt>
                <c:pt idx="141">
                  <c:v>27.71069</c:v>
                </c:pt>
                <c:pt idx="142">
                  <c:v>24.43215</c:v>
                </c:pt>
                <c:pt idx="143">
                  <c:v>20.01281</c:v>
                </c:pt>
                <c:pt idx="144">
                  <c:v>30.99057</c:v>
                </c:pt>
                <c:pt idx="145">
                  <c:v>27.58838</c:v>
                </c:pt>
                <c:pt idx="146">
                  <c:v>24.83109</c:v>
                </c:pt>
                <c:pt idx="147">
                  <c:v>22.44898</c:v>
                </c:pt>
                <c:pt idx="148">
                  <c:v>22.05825</c:v>
                </c:pt>
                <c:pt idx="149">
                  <c:v>22.21737</c:v>
                </c:pt>
                <c:pt idx="150">
                  <c:v>26.88898</c:v>
                </c:pt>
                <c:pt idx="151">
                  <c:v>19.38588</c:v>
                </c:pt>
                <c:pt idx="152">
                  <c:v>24.30364</c:v>
                </c:pt>
                <c:pt idx="153">
                  <c:v>26.43043</c:v>
                </c:pt>
                <c:pt idx="154">
                  <c:v>30.16414</c:v>
                </c:pt>
                <c:pt idx="155">
                  <c:v>19.45657</c:v>
                </c:pt>
                <c:pt idx="156">
                  <c:v>30.51639</c:v>
                </c:pt>
                <c:pt idx="157">
                  <c:v>35.88356</c:v>
                </c:pt>
                <c:pt idx="158">
                  <c:v>24.78799</c:v>
                </c:pt>
                <c:pt idx="159">
                  <c:v>19.50211</c:v>
                </c:pt>
                <c:pt idx="160">
                  <c:v>26.49215</c:v>
                </c:pt>
                <c:pt idx="161">
                  <c:v>21.05894</c:v>
                </c:pt>
                <c:pt idx="162">
                  <c:v>25.77336</c:v>
                </c:pt>
                <c:pt idx="163">
                  <c:v>26.51406</c:v>
                </c:pt>
                <c:pt idx="164">
                  <c:v>18.71728</c:v>
                </c:pt>
                <c:pt idx="165">
                  <c:v>26.08091</c:v>
                </c:pt>
                <c:pt idx="166">
                  <c:v>22.61365</c:v>
                </c:pt>
                <c:pt idx="167">
                  <c:v>22.84861</c:v>
                </c:pt>
                <c:pt idx="168">
                  <c:v>23.49294</c:v>
                </c:pt>
                <c:pt idx="169">
                  <c:v>28.28751</c:v>
                </c:pt>
                <c:pt idx="170">
                  <c:v>27.25182</c:v>
                </c:pt>
                <c:pt idx="171">
                  <c:v>28.71632</c:v>
                </c:pt>
                <c:pt idx="172">
                  <c:v>26.93676</c:v>
                </c:pt>
                <c:pt idx="173">
                  <c:v>28.00837</c:v>
                </c:pt>
                <c:pt idx="174">
                  <c:v>29.73565</c:v>
                </c:pt>
                <c:pt idx="175">
                  <c:v>21.06614</c:v>
                </c:pt>
                <c:pt idx="176">
                  <c:v>23.1635</c:v>
                </c:pt>
                <c:pt idx="177">
                  <c:v>20.08118</c:v>
                </c:pt>
                <c:pt idx="178">
                  <c:v>22.13262</c:v>
                </c:pt>
                <c:pt idx="179">
                  <c:v>24.34746</c:v>
                </c:pt>
                <c:pt idx="180">
                  <c:v>20.86572</c:v>
                </c:pt>
                <c:pt idx="181">
                  <c:v>23.86683</c:v>
                </c:pt>
                <c:pt idx="182">
                  <c:v>26.19205</c:v>
                </c:pt>
                <c:pt idx="183">
                  <c:v>26.36682</c:v>
                </c:pt>
              </c:numCache>
            </c:numRef>
          </c:yVal>
        </c:ser>
        <c:axId val="566182328"/>
        <c:axId val="565696696"/>
      </c:scatterChart>
      <c:valAx>
        <c:axId val="566182328"/>
        <c:scaling>
          <c:orientation val="minMax"/>
          <c:min val="0.0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Entropy</a:t>
                </a:r>
              </a:p>
            </c:rich>
          </c:tx>
        </c:title>
        <c:numFmt formatCode="General" sourceLinked="1"/>
        <c:tickLblPos val="nextTo"/>
        <c:crossAx val="565696696"/>
        <c:crosses val="autoZero"/>
        <c:crossBetween val="midCat"/>
      </c:valAx>
      <c:valAx>
        <c:axId val="565696696"/>
        <c:scaling>
          <c:orientation val="minMax"/>
          <c:min val="15.0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Average Travel Time</a:t>
                </a:r>
              </a:p>
            </c:rich>
          </c:tx>
        </c:title>
        <c:numFmt formatCode="General" sourceLinked="1"/>
        <c:tickLblPos val="nextTo"/>
        <c:crossAx val="566182328"/>
        <c:crosses val="autoZero"/>
        <c:crossBetween val="midCat"/>
      </c:valAx>
    </c:plotArea>
    <c:plotVisOnly val="1"/>
  </c:char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US"/>
  <c:style val="12"/>
  <c:chart>
    <c:title>
      <c:tx>
        <c:rich>
          <a:bodyPr/>
          <a:lstStyle/>
          <a:p>
            <a:pPr>
              <a:defRPr/>
            </a:pPr>
            <a:r>
              <a:rPr lang="en-US"/>
              <a:t>DVKT per capita vs. Alpha measure</a:t>
            </a:r>
          </a:p>
        </c:rich>
      </c:tx>
    </c:title>
    <c:plotArea>
      <c:layout/>
      <c:scatterChart>
        <c:scatterStyle val="lineMarker"/>
        <c:ser>
          <c:idx val="0"/>
          <c:order val="0"/>
          <c:tx>
            <c:strRef>
              <c:f>StataData!$BI$1</c:f>
              <c:strCache>
                <c:ptCount val="1"/>
                <c:pt idx="0">
                  <c:v>avg_tt</c:v>
                </c:pt>
              </c:strCache>
            </c:strRef>
          </c:tx>
          <c:spPr>
            <a:ln w="47625">
              <a:noFill/>
            </a:ln>
          </c:spPr>
          <c:marker>
            <c:symbol val="circle"/>
            <c:size val="6"/>
          </c:marker>
          <c:trendline>
            <c:trendlineType val="linear"/>
            <c:dispRSqr val="1"/>
            <c:dispEq val="1"/>
            <c:trendlineLbl>
              <c:layout>
                <c:manualLayout>
                  <c:x val="0.028778302712161"/>
                  <c:y val="-0.139761783236179"/>
                </c:manualLayout>
              </c:layout>
              <c:numFmt formatCode="General" sourceLinked="0"/>
            </c:trendlineLbl>
          </c:trendline>
          <c:xVal>
            <c:numRef>
              <c:f>StataData!$R$2:$R$185</c:f>
              <c:numCache>
                <c:formatCode>General</c:formatCode>
                <c:ptCount val="184"/>
                <c:pt idx="0">
                  <c:v>0.065764</c:v>
                </c:pt>
                <c:pt idx="1">
                  <c:v>0.1443616</c:v>
                </c:pt>
                <c:pt idx="2">
                  <c:v>0.2307692</c:v>
                </c:pt>
                <c:pt idx="3">
                  <c:v>0.1261612</c:v>
                </c:pt>
                <c:pt idx="4">
                  <c:v>0.1704423</c:v>
                </c:pt>
                <c:pt idx="5">
                  <c:v>0.2245614</c:v>
                </c:pt>
                <c:pt idx="6">
                  <c:v>0.0082988</c:v>
                </c:pt>
                <c:pt idx="7">
                  <c:v>0.2352941</c:v>
                </c:pt>
                <c:pt idx="8">
                  <c:v>0.1073171</c:v>
                </c:pt>
                <c:pt idx="9">
                  <c:v>0.0394432</c:v>
                </c:pt>
                <c:pt idx="10">
                  <c:v>0.1052632</c:v>
                </c:pt>
                <c:pt idx="11">
                  <c:v>0.1368421</c:v>
                </c:pt>
                <c:pt idx="12">
                  <c:v>0.1815651</c:v>
                </c:pt>
                <c:pt idx="13">
                  <c:v>0.112782</c:v>
                </c:pt>
                <c:pt idx="14">
                  <c:v>0.2027742</c:v>
                </c:pt>
                <c:pt idx="15">
                  <c:v>0.2618352</c:v>
                </c:pt>
                <c:pt idx="16">
                  <c:v>0.174175</c:v>
                </c:pt>
                <c:pt idx="17">
                  <c:v>0.0912951</c:v>
                </c:pt>
                <c:pt idx="18">
                  <c:v>0.1366051</c:v>
                </c:pt>
                <c:pt idx="19">
                  <c:v>0.031068</c:v>
                </c:pt>
                <c:pt idx="20">
                  <c:v>0.0917874</c:v>
                </c:pt>
                <c:pt idx="21">
                  <c:v>0.0754352</c:v>
                </c:pt>
                <c:pt idx="22">
                  <c:v>0.1223629</c:v>
                </c:pt>
                <c:pt idx="23">
                  <c:v>0.0938628</c:v>
                </c:pt>
                <c:pt idx="24">
                  <c:v>0.1390476</c:v>
                </c:pt>
                <c:pt idx="25">
                  <c:v>0.0989215</c:v>
                </c:pt>
                <c:pt idx="26">
                  <c:v>0.1216469</c:v>
                </c:pt>
                <c:pt idx="27">
                  <c:v>0.1882353</c:v>
                </c:pt>
                <c:pt idx="28">
                  <c:v>0.1428571</c:v>
                </c:pt>
                <c:pt idx="29">
                  <c:v>0.1371429</c:v>
                </c:pt>
                <c:pt idx="30">
                  <c:v>0.3176471</c:v>
                </c:pt>
                <c:pt idx="31">
                  <c:v>0.1694092</c:v>
                </c:pt>
                <c:pt idx="32">
                  <c:v>0.0685155</c:v>
                </c:pt>
                <c:pt idx="33">
                  <c:v>0.158516</c:v>
                </c:pt>
                <c:pt idx="34">
                  <c:v>0.1010309</c:v>
                </c:pt>
                <c:pt idx="35">
                  <c:v>0.2433898</c:v>
                </c:pt>
                <c:pt idx="36">
                  <c:v>0.0451977</c:v>
                </c:pt>
                <c:pt idx="37">
                  <c:v>0.0842333</c:v>
                </c:pt>
                <c:pt idx="38">
                  <c:v>0.1062124</c:v>
                </c:pt>
                <c:pt idx="39">
                  <c:v>0.1180124</c:v>
                </c:pt>
                <c:pt idx="40">
                  <c:v>0.0926829</c:v>
                </c:pt>
                <c:pt idx="41">
                  <c:v>0.1403509</c:v>
                </c:pt>
                <c:pt idx="42">
                  <c:v>0.1253488</c:v>
                </c:pt>
                <c:pt idx="43">
                  <c:v>0.1067367</c:v>
                </c:pt>
                <c:pt idx="44">
                  <c:v>0.1120794</c:v>
                </c:pt>
                <c:pt idx="45">
                  <c:v>0.2108716</c:v>
                </c:pt>
                <c:pt idx="46">
                  <c:v>0.0632911</c:v>
                </c:pt>
                <c:pt idx="47">
                  <c:v>0.1022222</c:v>
                </c:pt>
                <c:pt idx="48">
                  <c:v>0.109215</c:v>
                </c:pt>
                <c:pt idx="49">
                  <c:v>0.1566265</c:v>
                </c:pt>
                <c:pt idx="50">
                  <c:v>0.2609819</c:v>
                </c:pt>
                <c:pt idx="51">
                  <c:v>0.1888325</c:v>
                </c:pt>
                <c:pt idx="52">
                  <c:v>0.143155</c:v>
                </c:pt>
                <c:pt idx="53">
                  <c:v>0.2243142</c:v>
                </c:pt>
                <c:pt idx="54">
                  <c:v>0.0697674</c:v>
                </c:pt>
                <c:pt idx="55">
                  <c:v>0.2303848</c:v>
                </c:pt>
                <c:pt idx="56">
                  <c:v>0.0712871</c:v>
                </c:pt>
                <c:pt idx="57">
                  <c:v>0.0474934</c:v>
                </c:pt>
                <c:pt idx="58">
                  <c:v>0.1575758</c:v>
                </c:pt>
                <c:pt idx="59">
                  <c:v>0.0530973</c:v>
                </c:pt>
                <c:pt idx="60">
                  <c:v>0.030303</c:v>
                </c:pt>
                <c:pt idx="61">
                  <c:v>0.0967329</c:v>
                </c:pt>
                <c:pt idx="62">
                  <c:v>0.1636364</c:v>
                </c:pt>
                <c:pt idx="63">
                  <c:v>0.1728395</c:v>
                </c:pt>
                <c:pt idx="64">
                  <c:v>0.0798722</c:v>
                </c:pt>
                <c:pt idx="65">
                  <c:v>0.0788177</c:v>
                </c:pt>
                <c:pt idx="66">
                  <c:v>0.0444444</c:v>
                </c:pt>
                <c:pt idx="67">
                  <c:v>0.0383632</c:v>
                </c:pt>
                <c:pt idx="68">
                  <c:v>0.2193772</c:v>
                </c:pt>
                <c:pt idx="69">
                  <c:v>0.1298701</c:v>
                </c:pt>
                <c:pt idx="70">
                  <c:v>0.1791045</c:v>
                </c:pt>
                <c:pt idx="71">
                  <c:v>0.0639175</c:v>
                </c:pt>
                <c:pt idx="72">
                  <c:v>0.2141998</c:v>
                </c:pt>
                <c:pt idx="73">
                  <c:v>0.1323283</c:v>
                </c:pt>
                <c:pt idx="74">
                  <c:v>0.0889292</c:v>
                </c:pt>
                <c:pt idx="75">
                  <c:v>0.1430313</c:v>
                </c:pt>
                <c:pt idx="76">
                  <c:v>0.0693642</c:v>
                </c:pt>
                <c:pt idx="77">
                  <c:v>0.1561772</c:v>
                </c:pt>
                <c:pt idx="78">
                  <c:v>0.1055807</c:v>
                </c:pt>
                <c:pt idx="79">
                  <c:v>0.2445415</c:v>
                </c:pt>
                <c:pt idx="80">
                  <c:v>0.1553398</c:v>
                </c:pt>
                <c:pt idx="81">
                  <c:v>0.0701754</c:v>
                </c:pt>
                <c:pt idx="82">
                  <c:v>0.0369515</c:v>
                </c:pt>
                <c:pt idx="83">
                  <c:v>0.1371543</c:v>
                </c:pt>
                <c:pt idx="84">
                  <c:v>0.2054795</c:v>
                </c:pt>
                <c:pt idx="85">
                  <c:v>0.3043478</c:v>
                </c:pt>
                <c:pt idx="86">
                  <c:v>0.2307692</c:v>
                </c:pt>
                <c:pt idx="87">
                  <c:v>0.1161731</c:v>
                </c:pt>
                <c:pt idx="88">
                  <c:v>0.1109185</c:v>
                </c:pt>
                <c:pt idx="89">
                  <c:v>0.1506849</c:v>
                </c:pt>
                <c:pt idx="90">
                  <c:v>0.134715</c:v>
                </c:pt>
                <c:pt idx="91">
                  <c:v>0.1803279</c:v>
                </c:pt>
                <c:pt idx="92">
                  <c:v>0.011583</c:v>
                </c:pt>
                <c:pt idx="93">
                  <c:v>0.1334149</c:v>
                </c:pt>
                <c:pt idx="94">
                  <c:v>0.1278849</c:v>
                </c:pt>
                <c:pt idx="95">
                  <c:v>0.1698113</c:v>
                </c:pt>
                <c:pt idx="96">
                  <c:v>0.2193897</c:v>
                </c:pt>
                <c:pt idx="97">
                  <c:v>0.0935673</c:v>
                </c:pt>
                <c:pt idx="98">
                  <c:v>0.1469194</c:v>
                </c:pt>
                <c:pt idx="99">
                  <c:v>0.0527705</c:v>
                </c:pt>
                <c:pt idx="100">
                  <c:v>0.0884956</c:v>
                </c:pt>
                <c:pt idx="101">
                  <c:v>0.0666667</c:v>
                </c:pt>
                <c:pt idx="102">
                  <c:v>0.0593081</c:v>
                </c:pt>
                <c:pt idx="103">
                  <c:v>0.0275229</c:v>
                </c:pt>
                <c:pt idx="104">
                  <c:v>0.1399267</c:v>
                </c:pt>
                <c:pt idx="105">
                  <c:v>0.037037</c:v>
                </c:pt>
                <c:pt idx="106">
                  <c:v>0.3748928</c:v>
                </c:pt>
                <c:pt idx="107">
                  <c:v>0.1058824</c:v>
                </c:pt>
                <c:pt idx="108">
                  <c:v>0.1189989</c:v>
                </c:pt>
                <c:pt idx="109">
                  <c:v>0.0411862</c:v>
                </c:pt>
                <c:pt idx="110">
                  <c:v>0.1439921</c:v>
                </c:pt>
                <c:pt idx="111">
                  <c:v>0.2681048</c:v>
                </c:pt>
                <c:pt idx="112">
                  <c:v>0.2050708</c:v>
                </c:pt>
                <c:pt idx="113">
                  <c:v>0.0144928</c:v>
                </c:pt>
                <c:pt idx="114">
                  <c:v>0.1813333</c:v>
                </c:pt>
                <c:pt idx="115">
                  <c:v>0.0987654</c:v>
                </c:pt>
                <c:pt idx="116">
                  <c:v>0.070615</c:v>
                </c:pt>
                <c:pt idx="117">
                  <c:v>0.2149254</c:v>
                </c:pt>
                <c:pt idx="118">
                  <c:v>0.0745342</c:v>
                </c:pt>
                <c:pt idx="119">
                  <c:v>0.1481481</c:v>
                </c:pt>
                <c:pt idx="120">
                  <c:v>0.2</c:v>
                </c:pt>
                <c:pt idx="121">
                  <c:v>0.0909091</c:v>
                </c:pt>
                <c:pt idx="122">
                  <c:v>0.0847458</c:v>
                </c:pt>
                <c:pt idx="123">
                  <c:v>0.303781</c:v>
                </c:pt>
                <c:pt idx="124">
                  <c:v>0.019802</c:v>
                </c:pt>
                <c:pt idx="125">
                  <c:v>0.17737</c:v>
                </c:pt>
                <c:pt idx="126">
                  <c:v>0.1071081</c:v>
                </c:pt>
                <c:pt idx="127">
                  <c:v>0.1270208</c:v>
                </c:pt>
                <c:pt idx="128">
                  <c:v>0.1818182</c:v>
                </c:pt>
                <c:pt idx="129">
                  <c:v>0.0665543</c:v>
                </c:pt>
                <c:pt idx="130">
                  <c:v>0.3319838</c:v>
                </c:pt>
                <c:pt idx="131">
                  <c:v>0.027027</c:v>
                </c:pt>
                <c:pt idx="132">
                  <c:v>0.112453</c:v>
                </c:pt>
                <c:pt idx="133">
                  <c:v>0.1036545</c:v>
                </c:pt>
                <c:pt idx="134">
                  <c:v>0.1280228</c:v>
                </c:pt>
                <c:pt idx="135">
                  <c:v>0.1298701</c:v>
                </c:pt>
                <c:pt idx="136">
                  <c:v>0.0465116</c:v>
                </c:pt>
                <c:pt idx="137">
                  <c:v>0.1234043</c:v>
                </c:pt>
                <c:pt idx="138">
                  <c:v>0.3468635</c:v>
                </c:pt>
                <c:pt idx="139">
                  <c:v>0.2579583</c:v>
                </c:pt>
                <c:pt idx="140">
                  <c:v>0.1081081</c:v>
                </c:pt>
                <c:pt idx="141">
                  <c:v>0.0788091</c:v>
                </c:pt>
                <c:pt idx="142">
                  <c:v>0.1545236</c:v>
                </c:pt>
                <c:pt idx="143">
                  <c:v>0.2227466</c:v>
                </c:pt>
                <c:pt idx="144">
                  <c:v>0.0546075</c:v>
                </c:pt>
                <c:pt idx="145">
                  <c:v>0.056</c:v>
                </c:pt>
                <c:pt idx="146">
                  <c:v>0.119891</c:v>
                </c:pt>
                <c:pt idx="147">
                  <c:v>0.0983607</c:v>
                </c:pt>
                <c:pt idx="148">
                  <c:v>0.1827637</c:v>
                </c:pt>
                <c:pt idx="149">
                  <c:v>0.1681364</c:v>
                </c:pt>
                <c:pt idx="150">
                  <c:v>0.1143524</c:v>
                </c:pt>
                <c:pt idx="151">
                  <c:v>0.2407825</c:v>
                </c:pt>
                <c:pt idx="152">
                  <c:v>0.2570806</c:v>
                </c:pt>
                <c:pt idx="153">
                  <c:v>0.0618337</c:v>
                </c:pt>
                <c:pt idx="154">
                  <c:v>0.0322581</c:v>
                </c:pt>
                <c:pt idx="155">
                  <c:v>0.3442623</c:v>
                </c:pt>
                <c:pt idx="156">
                  <c:v>0.0869565</c:v>
                </c:pt>
                <c:pt idx="157">
                  <c:v>0.0928196</c:v>
                </c:pt>
                <c:pt idx="158">
                  <c:v>0.0769231</c:v>
                </c:pt>
                <c:pt idx="159">
                  <c:v>0.2461294</c:v>
                </c:pt>
                <c:pt idx="160">
                  <c:v>0.1460674</c:v>
                </c:pt>
                <c:pt idx="161">
                  <c:v>0.3328307</c:v>
                </c:pt>
                <c:pt idx="162">
                  <c:v>0.2847059</c:v>
                </c:pt>
                <c:pt idx="163">
                  <c:v>0.0293333</c:v>
                </c:pt>
                <c:pt idx="164">
                  <c:v>0.0705882</c:v>
                </c:pt>
                <c:pt idx="165">
                  <c:v>0.0921659</c:v>
                </c:pt>
                <c:pt idx="166">
                  <c:v>0.1367521</c:v>
                </c:pt>
                <c:pt idx="167">
                  <c:v>0.0864198</c:v>
                </c:pt>
                <c:pt idx="168">
                  <c:v>0.160804</c:v>
                </c:pt>
                <c:pt idx="169">
                  <c:v>0.086233</c:v>
                </c:pt>
                <c:pt idx="170">
                  <c:v>0.1277705</c:v>
                </c:pt>
                <c:pt idx="171">
                  <c:v>0.0123203</c:v>
                </c:pt>
                <c:pt idx="172">
                  <c:v>0.1546392</c:v>
                </c:pt>
                <c:pt idx="173">
                  <c:v>0.1336516</c:v>
                </c:pt>
                <c:pt idx="174">
                  <c:v>0.0424403</c:v>
                </c:pt>
                <c:pt idx="175">
                  <c:v>0.1794872</c:v>
                </c:pt>
                <c:pt idx="176">
                  <c:v>0.0801782</c:v>
                </c:pt>
                <c:pt idx="177">
                  <c:v>0.2820258</c:v>
                </c:pt>
                <c:pt idx="178">
                  <c:v>0.2309538</c:v>
                </c:pt>
                <c:pt idx="179">
                  <c:v>0.1541711</c:v>
                </c:pt>
                <c:pt idx="180">
                  <c:v>0.1818182</c:v>
                </c:pt>
                <c:pt idx="181">
                  <c:v>0.1221952</c:v>
                </c:pt>
                <c:pt idx="182">
                  <c:v>0.0266667</c:v>
                </c:pt>
                <c:pt idx="183">
                  <c:v>0.0712468</c:v>
                </c:pt>
              </c:numCache>
            </c:numRef>
          </c:xVal>
          <c:yVal>
            <c:numRef>
              <c:f>StataData!$BF$2:$BF$185</c:f>
              <c:numCache>
                <c:formatCode>General</c:formatCode>
                <c:ptCount val="184"/>
                <c:pt idx="0">
                  <c:v>111.0</c:v>
                </c:pt>
                <c:pt idx="1">
                  <c:v>25.0</c:v>
                </c:pt>
                <c:pt idx="2">
                  <c:v>36.0</c:v>
                </c:pt>
                <c:pt idx="3">
                  <c:v>28.0</c:v>
                </c:pt>
                <c:pt idx="4">
                  <c:v>152.0</c:v>
                </c:pt>
                <c:pt idx="5">
                  <c:v>19.0</c:v>
                </c:pt>
                <c:pt idx="6">
                  <c:v>41.0</c:v>
                </c:pt>
                <c:pt idx="7">
                  <c:v>27.0</c:v>
                </c:pt>
                <c:pt idx="8">
                  <c:v>40.0</c:v>
                </c:pt>
                <c:pt idx="9">
                  <c:v>140.0</c:v>
                </c:pt>
                <c:pt idx="10">
                  <c:v>14.0</c:v>
                </c:pt>
                <c:pt idx="11">
                  <c:v>6.0</c:v>
                </c:pt>
                <c:pt idx="12">
                  <c:v>45.0</c:v>
                </c:pt>
                <c:pt idx="13">
                  <c:v>356.0</c:v>
                </c:pt>
                <c:pt idx="14">
                  <c:v>60.0</c:v>
                </c:pt>
                <c:pt idx="15">
                  <c:v>71.0</c:v>
                </c:pt>
                <c:pt idx="16">
                  <c:v>38.0</c:v>
                </c:pt>
                <c:pt idx="17">
                  <c:v>40.0</c:v>
                </c:pt>
                <c:pt idx="18">
                  <c:v>41.0</c:v>
                </c:pt>
                <c:pt idx="19">
                  <c:v>45.0</c:v>
                </c:pt>
                <c:pt idx="20">
                  <c:v>38.0</c:v>
                </c:pt>
                <c:pt idx="21">
                  <c:v>40.0</c:v>
                </c:pt>
                <c:pt idx="22">
                  <c:v>67.0</c:v>
                </c:pt>
                <c:pt idx="23">
                  <c:v>12.0</c:v>
                </c:pt>
                <c:pt idx="24">
                  <c:v>18.0</c:v>
                </c:pt>
                <c:pt idx="25">
                  <c:v>40.0</c:v>
                </c:pt>
                <c:pt idx="26">
                  <c:v>31.0</c:v>
                </c:pt>
                <c:pt idx="27">
                  <c:v>14.0</c:v>
                </c:pt>
                <c:pt idx="28">
                  <c:v>402.0</c:v>
                </c:pt>
                <c:pt idx="29">
                  <c:v>18.0</c:v>
                </c:pt>
                <c:pt idx="30">
                  <c:v>14.0</c:v>
                </c:pt>
                <c:pt idx="31">
                  <c:v>37.0</c:v>
                </c:pt>
                <c:pt idx="32">
                  <c:v>50.0</c:v>
                </c:pt>
                <c:pt idx="33">
                  <c:v>27.0</c:v>
                </c:pt>
                <c:pt idx="34">
                  <c:v>41.0</c:v>
                </c:pt>
                <c:pt idx="35">
                  <c:v>17.0</c:v>
                </c:pt>
                <c:pt idx="36">
                  <c:v>89.0</c:v>
                </c:pt>
                <c:pt idx="37">
                  <c:v>66.0</c:v>
                </c:pt>
                <c:pt idx="38">
                  <c:v>6.0</c:v>
                </c:pt>
                <c:pt idx="39">
                  <c:v>34.0</c:v>
                </c:pt>
                <c:pt idx="40">
                  <c:v>128.0</c:v>
                </c:pt>
                <c:pt idx="41">
                  <c:v>119.0</c:v>
                </c:pt>
                <c:pt idx="42">
                  <c:v>49.0</c:v>
                </c:pt>
                <c:pt idx="43">
                  <c:v>47.0</c:v>
                </c:pt>
                <c:pt idx="44">
                  <c:v>44.0</c:v>
                </c:pt>
                <c:pt idx="45">
                  <c:v>51.0</c:v>
                </c:pt>
                <c:pt idx="46">
                  <c:v>41.0</c:v>
                </c:pt>
                <c:pt idx="47">
                  <c:v>87.0</c:v>
                </c:pt>
                <c:pt idx="48">
                  <c:v>43.0</c:v>
                </c:pt>
                <c:pt idx="49">
                  <c:v>30.0</c:v>
                </c:pt>
                <c:pt idx="50">
                  <c:v>27.0</c:v>
                </c:pt>
                <c:pt idx="51">
                  <c:v>17.0</c:v>
                </c:pt>
                <c:pt idx="52">
                  <c:v>55.0</c:v>
                </c:pt>
                <c:pt idx="53">
                  <c:v>57.0</c:v>
                </c:pt>
                <c:pt idx="54">
                  <c:v>98.0</c:v>
                </c:pt>
                <c:pt idx="55">
                  <c:v>88.0</c:v>
                </c:pt>
                <c:pt idx="56">
                  <c:v>49.0</c:v>
                </c:pt>
                <c:pt idx="57">
                  <c:v>73.0</c:v>
                </c:pt>
                <c:pt idx="58">
                  <c:v>89.0</c:v>
                </c:pt>
                <c:pt idx="59">
                  <c:v>6.0</c:v>
                </c:pt>
                <c:pt idx="60">
                  <c:v>27.0</c:v>
                </c:pt>
                <c:pt idx="61">
                  <c:v>48.0</c:v>
                </c:pt>
                <c:pt idx="62">
                  <c:v>7.0</c:v>
                </c:pt>
                <c:pt idx="63">
                  <c:v>135.0</c:v>
                </c:pt>
                <c:pt idx="64">
                  <c:v>278.0</c:v>
                </c:pt>
                <c:pt idx="65">
                  <c:v>45.0</c:v>
                </c:pt>
                <c:pt idx="66">
                  <c:v>69.0</c:v>
                </c:pt>
                <c:pt idx="67">
                  <c:v>133.0</c:v>
                </c:pt>
                <c:pt idx="68">
                  <c:v>22.0</c:v>
                </c:pt>
                <c:pt idx="69">
                  <c:v>64.0</c:v>
                </c:pt>
                <c:pt idx="70">
                  <c:v>4.0</c:v>
                </c:pt>
                <c:pt idx="71">
                  <c:v>110.0</c:v>
                </c:pt>
                <c:pt idx="72">
                  <c:v>33.0</c:v>
                </c:pt>
                <c:pt idx="73">
                  <c:v>39.0</c:v>
                </c:pt>
                <c:pt idx="74">
                  <c:v>82.0</c:v>
                </c:pt>
                <c:pt idx="75">
                  <c:v>52.0</c:v>
                </c:pt>
                <c:pt idx="76">
                  <c:v>108.0</c:v>
                </c:pt>
                <c:pt idx="77">
                  <c:v>22.0</c:v>
                </c:pt>
                <c:pt idx="78">
                  <c:v>88.0</c:v>
                </c:pt>
                <c:pt idx="79">
                  <c:v>15.0</c:v>
                </c:pt>
                <c:pt idx="80">
                  <c:v>87.0</c:v>
                </c:pt>
                <c:pt idx="81">
                  <c:v>7.0</c:v>
                </c:pt>
                <c:pt idx="82">
                  <c:v>81.0</c:v>
                </c:pt>
                <c:pt idx="83">
                  <c:v>34.0</c:v>
                </c:pt>
                <c:pt idx="84">
                  <c:v>3.0</c:v>
                </c:pt>
                <c:pt idx="85">
                  <c:v>37.0</c:v>
                </c:pt>
                <c:pt idx="86">
                  <c:v>16.0</c:v>
                </c:pt>
                <c:pt idx="87">
                  <c:v>69.0</c:v>
                </c:pt>
                <c:pt idx="88">
                  <c:v>25.0</c:v>
                </c:pt>
                <c:pt idx="89">
                  <c:v>112.0</c:v>
                </c:pt>
                <c:pt idx="90">
                  <c:v>62.0</c:v>
                </c:pt>
                <c:pt idx="91">
                  <c:v>12.0</c:v>
                </c:pt>
                <c:pt idx="92">
                  <c:v>137.0</c:v>
                </c:pt>
                <c:pt idx="93">
                  <c:v>16.0</c:v>
                </c:pt>
                <c:pt idx="94">
                  <c:v>49.0</c:v>
                </c:pt>
                <c:pt idx="95">
                  <c:v>27.0</c:v>
                </c:pt>
                <c:pt idx="96">
                  <c:v>44.0</c:v>
                </c:pt>
                <c:pt idx="97">
                  <c:v>48.0</c:v>
                </c:pt>
                <c:pt idx="98">
                  <c:v>122.0</c:v>
                </c:pt>
                <c:pt idx="99">
                  <c:v>41.0</c:v>
                </c:pt>
                <c:pt idx="100">
                  <c:v>12.0</c:v>
                </c:pt>
                <c:pt idx="101">
                  <c:v>4.0</c:v>
                </c:pt>
                <c:pt idx="102">
                  <c:v>84.0</c:v>
                </c:pt>
                <c:pt idx="103">
                  <c:v>43.0</c:v>
                </c:pt>
                <c:pt idx="104">
                  <c:v>106.0</c:v>
                </c:pt>
                <c:pt idx="105">
                  <c:v>140.0</c:v>
                </c:pt>
                <c:pt idx="106">
                  <c:v>29.0</c:v>
                </c:pt>
                <c:pt idx="107">
                  <c:v>84.0</c:v>
                </c:pt>
                <c:pt idx="108">
                  <c:v>60.0</c:v>
                </c:pt>
                <c:pt idx="109">
                  <c:v>55.0</c:v>
                </c:pt>
                <c:pt idx="110">
                  <c:v>12.0</c:v>
                </c:pt>
                <c:pt idx="111">
                  <c:v>27.0</c:v>
                </c:pt>
                <c:pt idx="112">
                  <c:v>44.0</c:v>
                </c:pt>
                <c:pt idx="113">
                  <c:v>18.0</c:v>
                </c:pt>
                <c:pt idx="114">
                  <c:v>15.0</c:v>
                </c:pt>
                <c:pt idx="115">
                  <c:v>22.0</c:v>
                </c:pt>
                <c:pt idx="116">
                  <c:v>154.0</c:v>
                </c:pt>
                <c:pt idx="117">
                  <c:v>11.0</c:v>
                </c:pt>
                <c:pt idx="118">
                  <c:v>50.0</c:v>
                </c:pt>
                <c:pt idx="119">
                  <c:v>40.0</c:v>
                </c:pt>
                <c:pt idx="120">
                  <c:v>118.0</c:v>
                </c:pt>
                <c:pt idx="121">
                  <c:v>123.0</c:v>
                </c:pt>
                <c:pt idx="122">
                  <c:v>28.0</c:v>
                </c:pt>
                <c:pt idx="123">
                  <c:v>24.0</c:v>
                </c:pt>
                <c:pt idx="124">
                  <c:v>11.0</c:v>
                </c:pt>
                <c:pt idx="125">
                  <c:v>13.0</c:v>
                </c:pt>
                <c:pt idx="126">
                  <c:v>38.0</c:v>
                </c:pt>
                <c:pt idx="127">
                  <c:v>36.0</c:v>
                </c:pt>
                <c:pt idx="128">
                  <c:v>41.0</c:v>
                </c:pt>
                <c:pt idx="129">
                  <c:v>77.0</c:v>
                </c:pt>
                <c:pt idx="130">
                  <c:v>45.0</c:v>
                </c:pt>
                <c:pt idx="131">
                  <c:v>293.0</c:v>
                </c:pt>
                <c:pt idx="132">
                  <c:v>52.0</c:v>
                </c:pt>
                <c:pt idx="133">
                  <c:v>25.0</c:v>
                </c:pt>
                <c:pt idx="134">
                  <c:v>40.0</c:v>
                </c:pt>
                <c:pt idx="135">
                  <c:v>18.0</c:v>
                </c:pt>
                <c:pt idx="136">
                  <c:v>180.0</c:v>
                </c:pt>
                <c:pt idx="137">
                  <c:v>36.0</c:v>
                </c:pt>
                <c:pt idx="138">
                  <c:v>56.0</c:v>
                </c:pt>
                <c:pt idx="139">
                  <c:v>23.0</c:v>
                </c:pt>
                <c:pt idx="140">
                  <c:v>89.0</c:v>
                </c:pt>
                <c:pt idx="141">
                  <c:v>147.0</c:v>
                </c:pt>
                <c:pt idx="142">
                  <c:v>44.0</c:v>
                </c:pt>
                <c:pt idx="143">
                  <c:v>63.0</c:v>
                </c:pt>
                <c:pt idx="144">
                  <c:v>24.0</c:v>
                </c:pt>
                <c:pt idx="145">
                  <c:v>150.0</c:v>
                </c:pt>
                <c:pt idx="146">
                  <c:v>37.0</c:v>
                </c:pt>
                <c:pt idx="147">
                  <c:v>85.0</c:v>
                </c:pt>
                <c:pt idx="148">
                  <c:v>60.0</c:v>
                </c:pt>
                <c:pt idx="149">
                  <c:v>41.0</c:v>
                </c:pt>
                <c:pt idx="150">
                  <c:v>3.0</c:v>
                </c:pt>
                <c:pt idx="151">
                  <c:v>29.0</c:v>
                </c:pt>
                <c:pt idx="152">
                  <c:v>30.0</c:v>
                </c:pt>
                <c:pt idx="153">
                  <c:v>45.0</c:v>
                </c:pt>
                <c:pt idx="154">
                  <c:v>23.0</c:v>
                </c:pt>
                <c:pt idx="155">
                  <c:v>19.0</c:v>
                </c:pt>
                <c:pt idx="156">
                  <c:v>18.0</c:v>
                </c:pt>
                <c:pt idx="157">
                  <c:v>24.0</c:v>
                </c:pt>
                <c:pt idx="158">
                  <c:v>358.0</c:v>
                </c:pt>
                <c:pt idx="159">
                  <c:v>43.0</c:v>
                </c:pt>
                <c:pt idx="160">
                  <c:v>13.0</c:v>
                </c:pt>
                <c:pt idx="161">
                  <c:v>31.0</c:v>
                </c:pt>
                <c:pt idx="162">
                  <c:v>15.0</c:v>
                </c:pt>
                <c:pt idx="163">
                  <c:v>37.0</c:v>
                </c:pt>
                <c:pt idx="164">
                  <c:v>443.0</c:v>
                </c:pt>
                <c:pt idx="165">
                  <c:v>34.0</c:v>
                </c:pt>
                <c:pt idx="166">
                  <c:v>84.0</c:v>
                </c:pt>
                <c:pt idx="167">
                  <c:v>22.0</c:v>
                </c:pt>
                <c:pt idx="168">
                  <c:v>231.0</c:v>
                </c:pt>
                <c:pt idx="169">
                  <c:v>48.0</c:v>
                </c:pt>
                <c:pt idx="170">
                  <c:v>17.0</c:v>
                </c:pt>
                <c:pt idx="171">
                  <c:v>103.0</c:v>
                </c:pt>
                <c:pt idx="172">
                  <c:v>176.0</c:v>
                </c:pt>
                <c:pt idx="173">
                  <c:v>16.0</c:v>
                </c:pt>
                <c:pt idx="174">
                  <c:v>123.0</c:v>
                </c:pt>
                <c:pt idx="175">
                  <c:v>96.0</c:v>
                </c:pt>
                <c:pt idx="176">
                  <c:v>94.0</c:v>
                </c:pt>
                <c:pt idx="177">
                  <c:v>25.0</c:v>
                </c:pt>
                <c:pt idx="178">
                  <c:v>42.0</c:v>
                </c:pt>
                <c:pt idx="179">
                  <c:v>32.0</c:v>
                </c:pt>
                <c:pt idx="180">
                  <c:v>14.0</c:v>
                </c:pt>
                <c:pt idx="181">
                  <c:v>44.0</c:v>
                </c:pt>
                <c:pt idx="182">
                  <c:v>10.0</c:v>
                </c:pt>
                <c:pt idx="183">
                  <c:v>179.0</c:v>
                </c:pt>
              </c:numCache>
            </c:numRef>
          </c:yVal>
        </c:ser>
        <c:axId val="565765016"/>
        <c:axId val="565818872"/>
      </c:scatterChart>
      <c:valAx>
        <c:axId val="56576501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Alpha</a:t>
                </a:r>
              </a:p>
            </c:rich>
          </c:tx>
        </c:title>
        <c:numFmt formatCode="General" sourceLinked="1"/>
        <c:tickLblPos val="nextTo"/>
        <c:crossAx val="565818872"/>
        <c:crosses val="autoZero"/>
        <c:crossBetween val="midCat"/>
      </c:valAx>
      <c:valAx>
        <c:axId val="565818872"/>
        <c:scaling>
          <c:orientation val="minMax"/>
          <c:min val="0.0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DVKT per capita</a:t>
                </a:r>
              </a:p>
            </c:rich>
          </c:tx>
        </c:title>
        <c:numFmt formatCode="General" sourceLinked="1"/>
        <c:tickLblPos val="nextTo"/>
        <c:crossAx val="565765016"/>
        <c:crosses val="autoZero"/>
        <c:crossBetween val="midCat"/>
      </c:valAx>
    </c:plotArea>
    <c:plotVisOnly val="1"/>
  </c:char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US"/>
  <c:style val="12"/>
  <c:chart>
    <c:title>
      <c:tx>
        <c:rich>
          <a:bodyPr/>
          <a:lstStyle/>
          <a:p>
            <a:pPr>
              <a:defRPr/>
            </a:pPr>
            <a:r>
              <a:rPr lang="en-US"/>
              <a:t>DVKT per capita vs. Beta measure</a:t>
            </a:r>
          </a:p>
        </c:rich>
      </c:tx>
    </c:title>
    <c:plotArea>
      <c:layout/>
      <c:scatterChart>
        <c:scatterStyle val="lineMarker"/>
        <c:ser>
          <c:idx val="0"/>
          <c:order val="0"/>
          <c:tx>
            <c:strRef>
              <c:f>StataData!$BI$1</c:f>
              <c:strCache>
                <c:ptCount val="1"/>
                <c:pt idx="0">
                  <c:v>avg_tt</c:v>
                </c:pt>
              </c:strCache>
            </c:strRef>
          </c:tx>
          <c:spPr>
            <a:ln w="47625">
              <a:noFill/>
            </a:ln>
          </c:spPr>
          <c:marker>
            <c:symbol val="circle"/>
            <c:size val="6"/>
          </c:marker>
          <c:trendline>
            <c:trendlineType val="linear"/>
            <c:dispRSqr val="1"/>
            <c:dispEq val="1"/>
            <c:trendlineLbl>
              <c:layout>
                <c:manualLayout>
                  <c:x val="0.028778302712161"/>
                  <c:y val="-0.139761783236179"/>
                </c:manualLayout>
              </c:layout>
              <c:numFmt formatCode="General" sourceLinked="0"/>
            </c:trendlineLbl>
          </c:trendline>
          <c:xVal>
            <c:numRef>
              <c:f>StataData!$S$2:$S$185</c:f>
              <c:numCache>
                <c:formatCode>General</c:formatCode>
                <c:ptCount val="184"/>
                <c:pt idx="0">
                  <c:v>1.126437</c:v>
                </c:pt>
                <c:pt idx="1">
                  <c:v>1.287215</c:v>
                </c:pt>
                <c:pt idx="2">
                  <c:v>1.457912</c:v>
                </c:pt>
                <c:pt idx="3">
                  <c:v>1.251346</c:v>
                </c:pt>
                <c:pt idx="4">
                  <c:v>1.33691</c:v>
                </c:pt>
                <c:pt idx="5">
                  <c:v>1.434483</c:v>
                </c:pt>
                <c:pt idx="6">
                  <c:v>1.00813</c:v>
                </c:pt>
                <c:pt idx="7">
                  <c:v>1.461847</c:v>
                </c:pt>
                <c:pt idx="8">
                  <c:v>1.2</c:v>
                </c:pt>
                <c:pt idx="9">
                  <c:v>1.073395</c:v>
                </c:pt>
                <c:pt idx="10">
                  <c:v>1.16129</c:v>
                </c:pt>
                <c:pt idx="11">
                  <c:v>1.24</c:v>
                </c:pt>
                <c:pt idx="12">
                  <c:v>1.361952</c:v>
                </c:pt>
                <c:pt idx="13">
                  <c:v>1.202899</c:v>
                </c:pt>
                <c:pt idx="14">
                  <c:v>1.404814</c:v>
                </c:pt>
                <c:pt idx="15">
                  <c:v>1.520979</c:v>
                </c:pt>
                <c:pt idx="16">
                  <c:v>1.347278</c:v>
                </c:pt>
                <c:pt idx="17">
                  <c:v>1.176471</c:v>
                </c:pt>
                <c:pt idx="18">
                  <c:v>1.27236</c:v>
                </c:pt>
                <c:pt idx="19">
                  <c:v>1.057692</c:v>
                </c:pt>
                <c:pt idx="20">
                  <c:v>1.169811</c:v>
                </c:pt>
                <c:pt idx="21">
                  <c:v>1.145594</c:v>
                </c:pt>
                <c:pt idx="22">
                  <c:v>1.231405</c:v>
                </c:pt>
                <c:pt idx="23">
                  <c:v>1.177305</c:v>
                </c:pt>
                <c:pt idx="24">
                  <c:v>1.275949</c:v>
                </c:pt>
                <c:pt idx="25">
                  <c:v>1.196733</c:v>
                </c:pt>
                <c:pt idx="26">
                  <c:v>1.241294</c:v>
                </c:pt>
                <c:pt idx="27">
                  <c:v>1.361538</c:v>
                </c:pt>
                <c:pt idx="28">
                  <c:v>1.153846</c:v>
                </c:pt>
                <c:pt idx="29">
                  <c:v>1.255556</c:v>
                </c:pt>
                <c:pt idx="30">
                  <c:v>1.629787</c:v>
                </c:pt>
                <c:pt idx="31">
                  <c:v>1.337823</c:v>
                </c:pt>
                <c:pt idx="32">
                  <c:v>1.132686</c:v>
                </c:pt>
                <c:pt idx="33">
                  <c:v>1.315022</c:v>
                </c:pt>
                <c:pt idx="34">
                  <c:v>1.195918</c:v>
                </c:pt>
                <c:pt idx="35">
                  <c:v>1.483784</c:v>
                </c:pt>
                <c:pt idx="36">
                  <c:v>1.085821</c:v>
                </c:pt>
                <c:pt idx="37">
                  <c:v>1.162393</c:v>
                </c:pt>
                <c:pt idx="38">
                  <c:v>1.206349</c:v>
                </c:pt>
                <c:pt idx="39">
                  <c:v>1.216867</c:v>
                </c:pt>
                <c:pt idx="40">
                  <c:v>1.171429</c:v>
                </c:pt>
                <c:pt idx="41">
                  <c:v>1.261364</c:v>
                </c:pt>
                <c:pt idx="42">
                  <c:v>1.25</c:v>
                </c:pt>
                <c:pt idx="43">
                  <c:v>1.210801</c:v>
                </c:pt>
                <c:pt idx="44">
                  <c:v>1.223404</c:v>
                </c:pt>
                <c:pt idx="45">
                  <c:v>1.420462</c:v>
                </c:pt>
                <c:pt idx="46">
                  <c:v>1.095238</c:v>
                </c:pt>
                <c:pt idx="47">
                  <c:v>1.191304</c:v>
                </c:pt>
                <c:pt idx="48">
                  <c:v>1.208054</c:v>
                </c:pt>
                <c:pt idx="49">
                  <c:v>1.299213</c:v>
                </c:pt>
                <c:pt idx="50">
                  <c:v>1.510204</c:v>
                </c:pt>
                <c:pt idx="51">
                  <c:v>1.373737</c:v>
                </c:pt>
                <c:pt idx="52">
                  <c:v>1.283934</c:v>
                </c:pt>
                <c:pt idx="53">
                  <c:v>1.446352</c:v>
                </c:pt>
                <c:pt idx="54">
                  <c:v>1.083333</c:v>
                </c:pt>
                <c:pt idx="55">
                  <c:v>1.458624</c:v>
                </c:pt>
                <c:pt idx="56">
                  <c:v>1.137255</c:v>
                </c:pt>
                <c:pt idx="57">
                  <c:v>1.088542</c:v>
                </c:pt>
                <c:pt idx="58">
                  <c:v>1.294118</c:v>
                </c:pt>
                <c:pt idx="59">
                  <c:v>1.084746</c:v>
                </c:pt>
                <c:pt idx="60">
                  <c:v>1.0</c:v>
                </c:pt>
                <c:pt idx="61">
                  <c:v>1.191571</c:v>
                </c:pt>
                <c:pt idx="62">
                  <c:v>1.266667</c:v>
                </c:pt>
                <c:pt idx="63">
                  <c:v>1.302326</c:v>
                </c:pt>
                <c:pt idx="64">
                  <c:v>1.150943</c:v>
                </c:pt>
                <c:pt idx="65">
                  <c:v>1.144231</c:v>
                </c:pt>
                <c:pt idx="66">
                  <c:v>1.04</c:v>
                </c:pt>
                <c:pt idx="67">
                  <c:v>1.070707</c:v>
                </c:pt>
                <c:pt idx="68">
                  <c:v>1.435862</c:v>
                </c:pt>
                <c:pt idx="69">
                  <c:v>1.245763</c:v>
                </c:pt>
                <c:pt idx="70">
                  <c:v>1.305556</c:v>
                </c:pt>
                <c:pt idx="71">
                  <c:v>1.122449</c:v>
                </c:pt>
                <c:pt idx="72">
                  <c:v>1.423445</c:v>
                </c:pt>
                <c:pt idx="73">
                  <c:v>1.259136</c:v>
                </c:pt>
                <c:pt idx="74">
                  <c:v>1.172662</c:v>
                </c:pt>
                <c:pt idx="75">
                  <c:v>1.284672</c:v>
                </c:pt>
                <c:pt idx="76">
                  <c:v>1.123595</c:v>
                </c:pt>
                <c:pt idx="77">
                  <c:v>1.304147</c:v>
                </c:pt>
                <c:pt idx="78">
                  <c:v>1.206587</c:v>
                </c:pt>
                <c:pt idx="79">
                  <c:v>1.470086</c:v>
                </c:pt>
                <c:pt idx="80">
                  <c:v>1.299363</c:v>
                </c:pt>
                <c:pt idx="81">
                  <c:v>1.096774</c:v>
                </c:pt>
                <c:pt idx="82">
                  <c:v>1.068493</c:v>
                </c:pt>
                <c:pt idx="83">
                  <c:v>1.273349</c:v>
                </c:pt>
                <c:pt idx="84">
                  <c:v>1.358974</c:v>
                </c:pt>
                <c:pt idx="85">
                  <c:v>1.566667</c:v>
                </c:pt>
                <c:pt idx="86">
                  <c:v>1.432432</c:v>
                </c:pt>
                <c:pt idx="87">
                  <c:v>1.229955</c:v>
                </c:pt>
                <c:pt idx="88">
                  <c:v>1.216495</c:v>
                </c:pt>
                <c:pt idx="89">
                  <c:v>1.294574</c:v>
                </c:pt>
                <c:pt idx="90">
                  <c:v>1.252525</c:v>
                </c:pt>
                <c:pt idx="91">
                  <c:v>1.30303</c:v>
                </c:pt>
                <c:pt idx="92">
                  <c:v>1.015152</c:v>
                </c:pt>
                <c:pt idx="93">
                  <c:v>1.262774</c:v>
                </c:pt>
                <c:pt idx="94">
                  <c:v>1.254881</c:v>
                </c:pt>
                <c:pt idx="95">
                  <c:v>1.317073</c:v>
                </c:pt>
                <c:pt idx="96">
                  <c:v>1.437163</c:v>
                </c:pt>
                <c:pt idx="97">
                  <c:v>1.170455</c:v>
                </c:pt>
                <c:pt idx="98">
                  <c:v>1.277778</c:v>
                </c:pt>
                <c:pt idx="99">
                  <c:v>1.098958</c:v>
                </c:pt>
                <c:pt idx="100">
                  <c:v>1.152542</c:v>
                </c:pt>
                <c:pt idx="101">
                  <c:v>1.0</c:v>
                </c:pt>
                <c:pt idx="102">
                  <c:v>1.114379</c:v>
                </c:pt>
                <c:pt idx="103">
                  <c:v>1.035088</c:v>
                </c:pt>
                <c:pt idx="104">
                  <c:v>1.277372</c:v>
                </c:pt>
                <c:pt idx="105">
                  <c:v>1.0</c:v>
                </c:pt>
                <c:pt idx="106">
                  <c:v>1.749406</c:v>
                </c:pt>
                <c:pt idx="107">
                  <c:v>1.177778</c:v>
                </c:pt>
                <c:pt idx="108">
                  <c:v>1.237273</c:v>
                </c:pt>
                <c:pt idx="109">
                  <c:v>1.078431</c:v>
                </c:pt>
                <c:pt idx="110">
                  <c:v>1.284585</c:v>
                </c:pt>
                <c:pt idx="111">
                  <c:v>1.529052</c:v>
                </c:pt>
                <c:pt idx="112">
                  <c:v>1.407132</c:v>
                </c:pt>
                <c:pt idx="113">
                  <c:v>1.0</c:v>
                </c:pt>
                <c:pt idx="114">
                  <c:v>1.359292</c:v>
                </c:pt>
                <c:pt idx="115">
                  <c:v>1.162791</c:v>
                </c:pt>
                <c:pt idx="116">
                  <c:v>1.135135</c:v>
                </c:pt>
                <c:pt idx="117">
                  <c:v>1.417647</c:v>
                </c:pt>
                <c:pt idx="118">
                  <c:v>1.143443</c:v>
                </c:pt>
                <c:pt idx="119">
                  <c:v>1.1875</c:v>
                </c:pt>
                <c:pt idx="120">
                  <c:v>1.391837</c:v>
                </c:pt>
                <c:pt idx="121">
                  <c:v>1.164706</c:v>
                </c:pt>
                <c:pt idx="122">
                  <c:v>1.165138</c:v>
                </c:pt>
                <c:pt idx="123">
                  <c:v>1.601036</c:v>
                </c:pt>
                <c:pt idx="124">
                  <c:v>1.018868</c:v>
                </c:pt>
                <c:pt idx="125">
                  <c:v>1.343374</c:v>
                </c:pt>
                <c:pt idx="126">
                  <c:v>1.21124</c:v>
                </c:pt>
                <c:pt idx="127">
                  <c:v>1.246575</c:v>
                </c:pt>
                <c:pt idx="128">
                  <c:v>1.361658</c:v>
                </c:pt>
                <c:pt idx="129">
                  <c:v>1.130872</c:v>
                </c:pt>
                <c:pt idx="130">
                  <c:v>1.642857</c:v>
                </c:pt>
                <c:pt idx="131">
                  <c:v>1.034483</c:v>
                </c:pt>
                <c:pt idx="132">
                  <c:v>1.224288</c:v>
                </c:pt>
                <c:pt idx="133">
                  <c:v>1.205298</c:v>
                </c:pt>
                <c:pt idx="134">
                  <c:v>1.254494</c:v>
                </c:pt>
                <c:pt idx="135">
                  <c:v>1.219512</c:v>
                </c:pt>
                <c:pt idx="136">
                  <c:v>1.074627</c:v>
                </c:pt>
                <c:pt idx="137">
                  <c:v>1.233333</c:v>
                </c:pt>
                <c:pt idx="138">
                  <c:v>1.690852</c:v>
                </c:pt>
                <c:pt idx="139">
                  <c:v>1.510917</c:v>
                </c:pt>
                <c:pt idx="140">
                  <c:v>1.142857</c:v>
                </c:pt>
                <c:pt idx="141">
                  <c:v>1.152778</c:v>
                </c:pt>
                <c:pt idx="142">
                  <c:v>1.30622</c:v>
                </c:pt>
                <c:pt idx="143">
                  <c:v>1.443503</c:v>
                </c:pt>
                <c:pt idx="144">
                  <c:v>1.100671</c:v>
                </c:pt>
                <c:pt idx="145">
                  <c:v>1.105263</c:v>
                </c:pt>
                <c:pt idx="146">
                  <c:v>1.238043</c:v>
                </c:pt>
                <c:pt idx="147">
                  <c:v>1.151515</c:v>
                </c:pt>
                <c:pt idx="148">
                  <c:v>1.363636</c:v>
                </c:pt>
                <c:pt idx="149">
                  <c:v>1.334115</c:v>
                </c:pt>
                <c:pt idx="150">
                  <c:v>1.225058</c:v>
                </c:pt>
                <c:pt idx="151">
                  <c:v>1.478261</c:v>
                </c:pt>
                <c:pt idx="152">
                  <c:v>1.50431</c:v>
                </c:pt>
                <c:pt idx="153">
                  <c:v>1.118143</c:v>
                </c:pt>
                <c:pt idx="154">
                  <c:v>1.05</c:v>
                </c:pt>
                <c:pt idx="155">
                  <c:v>1.675926</c:v>
                </c:pt>
                <c:pt idx="156">
                  <c:v>1.156626</c:v>
                </c:pt>
                <c:pt idx="157">
                  <c:v>1.180556</c:v>
                </c:pt>
                <c:pt idx="158">
                  <c:v>1.131148</c:v>
                </c:pt>
                <c:pt idx="159">
                  <c:v>1.490491</c:v>
                </c:pt>
                <c:pt idx="160">
                  <c:v>1.255319</c:v>
                </c:pt>
                <c:pt idx="161">
                  <c:v>1.665239</c:v>
                </c:pt>
                <c:pt idx="162">
                  <c:v>1.55814</c:v>
                </c:pt>
                <c:pt idx="163">
                  <c:v>1.052632</c:v>
                </c:pt>
                <c:pt idx="164">
                  <c:v>1.111111</c:v>
                </c:pt>
                <c:pt idx="165">
                  <c:v>1.171171</c:v>
                </c:pt>
                <c:pt idx="166">
                  <c:v>1.269418</c:v>
                </c:pt>
                <c:pt idx="167">
                  <c:v>1.139535</c:v>
                </c:pt>
                <c:pt idx="168">
                  <c:v>1.303922</c:v>
                </c:pt>
                <c:pt idx="169">
                  <c:v>1.168168</c:v>
                </c:pt>
                <c:pt idx="170">
                  <c:v>1.251295</c:v>
                </c:pt>
                <c:pt idx="171">
                  <c:v>1.020325</c:v>
                </c:pt>
                <c:pt idx="172">
                  <c:v>1.27451</c:v>
                </c:pt>
                <c:pt idx="173">
                  <c:v>1.259434</c:v>
                </c:pt>
                <c:pt idx="174">
                  <c:v>1.078534</c:v>
                </c:pt>
                <c:pt idx="175">
                  <c:v>1.35023</c:v>
                </c:pt>
                <c:pt idx="176">
                  <c:v>1.154185</c:v>
                </c:pt>
                <c:pt idx="177">
                  <c:v>1.559289</c:v>
                </c:pt>
                <c:pt idx="178">
                  <c:v>1.45933</c:v>
                </c:pt>
                <c:pt idx="179">
                  <c:v>1.304622</c:v>
                </c:pt>
                <c:pt idx="180">
                  <c:v>1.337838</c:v>
                </c:pt>
                <c:pt idx="181">
                  <c:v>1.24352</c:v>
                </c:pt>
                <c:pt idx="182">
                  <c:v>1.025</c:v>
                </c:pt>
                <c:pt idx="183">
                  <c:v>1.135678</c:v>
                </c:pt>
              </c:numCache>
            </c:numRef>
          </c:xVal>
          <c:yVal>
            <c:numRef>
              <c:f>StataData!$BF$2:$BF$185</c:f>
              <c:numCache>
                <c:formatCode>General</c:formatCode>
                <c:ptCount val="184"/>
                <c:pt idx="0">
                  <c:v>111.0</c:v>
                </c:pt>
                <c:pt idx="1">
                  <c:v>25.0</c:v>
                </c:pt>
                <c:pt idx="2">
                  <c:v>36.0</c:v>
                </c:pt>
                <c:pt idx="3">
                  <c:v>28.0</c:v>
                </c:pt>
                <c:pt idx="4">
                  <c:v>152.0</c:v>
                </c:pt>
                <c:pt idx="5">
                  <c:v>19.0</c:v>
                </c:pt>
                <c:pt idx="6">
                  <c:v>41.0</c:v>
                </c:pt>
                <c:pt idx="7">
                  <c:v>27.0</c:v>
                </c:pt>
                <c:pt idx="8">
                  <c:v>40.0</c:v>
                </c:pt>
                <c:pt idx="9">
                  <c:v>140.0</c:v>
                </c:pt>
                <c:pt idx="10">
                  <c:v>14.0</c:v>
                </c:pt>
                <c:pt idx="11">
                  <c:v>6.0</c:v>
                </c:pt>
                <c:pt idx="12">
                  <c:v>45.0</c:v>
                </c:pt>
                <c:pt idx="13">
                  <c:v>356.0</c:v>
                </c:pt>
                <c:pt idx="14">
                  <c:v>60.0</c:v>
                </c:pt>
                <c:pt idx="15">
                  <c:v>71.0</c:v>
                </c:pt>
                <c:pt idx="16">
                  <c:v>38.0</c:v>
                </c:pt>
                <c:pt idx="17">
                  <c:v>40.0</c:v>
                </c:pt>
                <c:pt idx="18">
                  <c:v>41.0</c:v>
                </c:pt>
                <c:pt idx="19">
                  <c:v>45.0</c:v>
                </c:pt>
                <c:pt idx="20">
                  <c:v>38.0</c:v>
                </c:pt>
                <c:pt idx="21">
                  <c:v>40.0</c:v>
                </c:pt>
                <c:pt idx="22">
                  <c:v>67.0</c:v>
                </c:pt>
                <c:pt idx="23">
                  <c:v>12.0</c:v>
                </c:pt>
                <c:pt idx="24">
                  <c:v>18.0</c:v>
                </c:pt>
                <c:pt idx="25">
                  <c:v>40.0</c:v>
                </c:pt>
                <c:pt idx="26">
                  <c:v>31.0</c:v>
                </c:pt>
                <c:pt idx="27">
                  <c:v>14.0</c:v>
                </c:pt>
                <c:pt idx="28">
                  <c:v>402.0</c:v>
                </c:pt>
                <c:pt idx="29">
                  <c:v>18.0</c:v>
                </c:pt>
                <c:pt idx="30">
                  <c:v>14.0</c:v>
                </c:pt>
                <c:pt idx="31">
                  <c:v>37.0</c:v>
                </c:pt>
                <c:pt idx="32">
                  <c:v>50.0</c:v>
                </c:pt>
                <c:pt idx="33">
                  <c:v>27.0</c:v>
                </c:pt>
                <c:pt idx="34">
                  <c:v>41.0</c:v>
                </c:pt>
                <c:pt idx="35">
                  <c:v>17.0</c:v>
                </c:pt>
                <c:pt idx="36">
                  <c:v>89.0</c:v>
                </c:pt>
                <c:pt idx="37">
                  <c:v>66.0</c:v>
                </c:pt>
                <c:pt idx="38">
                  <c:v>6.0</c:v>
                </c:pt>
                <c:pt idx="39">
                  <c:v>34.0</c:v>
                </c:pt>
                <c:pt idx="40">
                  <c:v>128.0</c:v>
                </c:pt>
                <c:pt idx="41">
                  <c:v>119.0</c:v>
                </c:pt>
                <c:pt idx="42">
                  <c:v>49.0</c:v>
                </c:pt>
                <c:pt idx="43">
                  <c:v>47.0</c:v>
                </c:pt>
                <c:pt idx="44">
                  <c:v>44.0</c:v>
                </c:pt>
                <c:pt idx="45">
                  <c:v>51.0</c:v>
                </c:pt>
                <c:pt idx="46">
                  <c:v>41.0</c:v>
                </c:pt>
                <c:pt idx="47">
                  <c:v>87.0</c:v>
                </c:pt>
                <c:pt idx="48">
                  <c:v>43.0</c:v>
                </c:pt>
                <c:pt idx="49">
                  <c:v>30.0</c:v>
                </c:pt>
                <c:pt idx="50">
                  <c:v>27.0</c:v>
                </c:pt>
                <c:pt idx="51">
                  <c:v>17.0</c:v>
                </c:pt>
                <c:pt idx="52">
                  <c:v>55.0</c:v>
                </c:pt>
                <c:pt idx="53">
                  <c:v>57.0</c:v>
                </c:pt>
                <c:pt idx="54">
                  <c:v>98.0</c:v>
                </c:pt>
                <c:pt idx="55">
                  <c:v>88.0</c:v>
                </c:pt>
                <c:pt idx="56">
                  <c:v>49.0</c:v>
                </c:pt>
                <c:pt idx="57">
                  <c:v>73.0</c:v>
                </c:pt>
                <c:pt idx="58">
                  <c:v>89.0</c:v>
                </c:pt>
                <c:pt idx="59">
                  <c:v>6.0</c:v>
                </c:pt>
                <c:pt idx="60">
                  <c:v>27.0</c:v>
                </c:pt>
                <c:pt idx="61">
                  <c:v>48.0</c:v>
                </c:pt>
                <c:pt idx="62">
                  <c:v>7.0</c:v>
                </c:pt>
                <c:pt idx="63">
                  <c:v>135.0</c:v>
                </c:pt>
                <c:pt idx="64">
                  <c:v>278.0</c:v>
                </c:pt>
                <c:pt idx="65">
                  <c:v>45.0</c:v>
                </c:pt>
                <c:pt idx="66">
                  <c:v>69.0</c:v>
                </c:pt>
                <c:pt idx="67">
                  <c:v>133.0</c:v>
                </c:pt>
                <c:pt idx="68">
                  <c:v>22.0</c:v>
                </c:pt>
                <c:pt idx="69">
                  <c:v>64.0</c:v>
                </c:pt>
                <c:pt idx="70">
                  <c:v>4.0</c:v>
                </c:pt>
                <c:pt idx="71">
                  <c:v>110.0</c:v>
                </c:pt>
                <c:pt idx="72">
                  <c:v>33.0</c:v>
                </c:pt>
                <c:pt idx="73">
                  <c:v>39.0</c:v>
                </c:pt>
                <c:pt idx="74">
                  <c:v>82.0</c:v>
                </c:pt>
                <c:pt idx="75">
                  <c:v>52.0</c:v>
                </c:pt>
                <c:pt idx="76">
                  <c:v>108.0</c:v>
                </c:pt>
                <c:pt idx="77">
                  <c:v>22.0</c:v>
                </c:pt>
                <c:pt idx="78">
                  <c:v>88.0</c:v>
                </c:pt>
                <c:pt idx="79">
                  <c:v>15.0</c:v>
                </c:pt>
                <c:pt idx="80">
                  <c:v>87.0</c:v>
                </c:pt>
                <c:pt idx="81">
                  <c:v>7.0</c:v>
                </c:pt>
                <c:pt idx="82">
                  <c:v>81.0</c:v>
                </c:pt>
                <c:pt idx="83">
                  <c:v>34.0</c:v>
                </c:pt>
                <c:pt idx="84">
                  <c:v>3.0</c:v>
                </c:pt>
                <c:pt idx="85">
                  <c:v>37.0</c:v>
                </c:pt>
                <c:pt idx="86">
                  <c:v>16.0</c:v>
                </c:pt>
                <c:pt idx="87">
                  <c:v>69.0</c:v>
                </c:pt>
                <c:pt idx="88">
                  <c:v>25.0</c:v>
                </c:pt>
                <c:pt idx="89">
                  <c:v>112.0</c:v>
                </c:pt>
                <c:pt idx="90">
                  <c:v>62.0</c:v>
                </c:pt>
                <c:pt idx="91">
                  <c:v>12.0</c:v>
                </c:pt>
                <c:pt idx="92">
                  <c:v>137.0</c:v>
                </c:pt>
                <c:pt idx="93">
                  <c:v>16.0</c:v>
                </c:pt>
                <c:pt idx="94">
                  <c:v>49.0</c:v>
                </c:pt>
                <c:pt idx="95">
                  <c:v>27.0</c:v>
                </c:pt>
                <c:pt idx="96">
                  <c:v>44.0</c:v>
                </c:pt>
                <c:pt idx="97">
                  <c:v>48.0</c:v>
                </c:pt>
                <c:pt idx="98">
                  <c:v>122.0</c:v>
                </c:pt>
                <c:pt idx="99">
                  <c:v>41.0</c:v>
                </c:pt>
                <c:pt idx="100">
                  <c:v>12.0</c:v>
                </c:pt>
                <c:pt idx="101">
                  <c:v>4.0</c:v>
                </c:pt>
                <c:pt idx="102">
                  <c:v>84.0</c:v>
                </c:pt>
                <c:pt idx="103">
                  <c:v>43.0</c:v>
                </c:pt>
                <c:pt idx="104">
                  <c:v>106.0</c:v>
                </c:pt>
                <c:pt idx="105">
                  <c:v>140.0</c:v>
                </c:pt>
                <c:pt idx="106">
                  <c:v>29.0</c:v>
                </c:pt>
                <c:pt idx="107">
                  <c:v>84.0</c:v>
                </c:pt>
                <c:pt idx="108">
                  <c:v>60.0</c:v>
                </c:pt>
                <c:pt idx="109">
                  <c:v>55.0</c:v>
                </c:pt>
                <c:pt idx="110">
                  <c:v>12.0</c:v>
                </c:pt>
                <c:pt idx="111">
                  <c:v>27.0</c:v>
                </c:pt>
                <c:pt idx="112">
                  <c:v>44.0</c:v>
                </c:pt>
                <c:pt idx="113">
                  <c:v>18.0</c:v>
                </c:pt>
                <c:pt idx="114">
                  <c:v>15.0</c:v>
                </c:pt>
                <c:pt idx="115">
                  <c:v>22.0</c:v>
                </c:pt>
                <c:pt idx="116">
                  <c:v>154.0</c:v>
                </c:pt>
                <c:pt idx="117">
                  <c:v>11.0</c:v>
                </c:pt>
                <c:pt idx="118">
                  <c:v>50.0</c:v>
                </c:pt>
                <c:pt idx="119">
                  <c:v>40.0</c:v>
                </c:pt>
                <c:pt idx="120">
                  <c:v>118.0</c:v>
                </c:pt>
                <c:pt idx="121">
                  <c:v>123.0</c:v>
                </c:pt>
                <c:pt idx="122">
                  <c:v>28.0</c:v>
                </c:pt>
                <c:pt idx="123">
                  <c:v>24.0</c:v>
                </c:pt>
                <c:pt idx="124">
                  <c:v>11.0</c:v>
                </c:pt>
                <c:pt idx="125">
                  <c:v>13.0</c:v>
                </c:pt>
                <c:pt idx="126">
                  <c:v>38.0</c:v>
                </c:pt>
                <c:pt idx="127">
                  <c:v>36.0</c:v>
                </c:pt>
                <c:pt idx="128">
                  <c:v>41.0</c:v>
                </c:pt>
                <c:pt idx="129">
                  <c:v>77.0</c:v>
                </c:pt>
                <c:pt idx="130">
                  <c:v>45.0</c:v>
                </c:pt>
                <c:pt idx="131">
                  <c:v>293.0</c:v>
                </c:pt>
                <c:pt idx="132">
                  <c:v>52.0</c:v>
                </c:pt>
                <c:pt idx="133">
                  <c:v>25.0</c:v>
                </c:pt>
                <c:pt idx="134">
                  <c:v>40.0</c:v>
                </c:pt>
                <c:pt idx="135">
                  <c:v>18.0</c:v>
                </c:pt>
                <c:pt idx="136">
                  <c:v>180.0</c:v>
                </c:pt>
                <c:pt idx="137">
                  <c:v>36.0</c:v>
                </c:pt>
                <c:pt idx="138">
                  <c:v>56.0</c:v>
                </c:pt>
                <c:pt idx="139">
                  <c:v>23.0</c:v>
                </c:pt>
                <c:pt idx="140">
                  <c:v>89.0</c:v>
                </c:pt>
                <c:pt idx="141">
                  <c:v>147.0</c:v>
                </c:pt>
                <c:pt idx="142">
                  <c:v>44.0</c:v>
                </c:pt>
                <c:pt idx="143">
                  <c:v>63.0</c:v>
                </c:pt>
                <c:pt idx="144">
                  <c:v>24.0</c:v>
                </c:pt>
                <c:pt idx="145">
                  <c:v>150.0</c:v>
                </c:pt>
                <c:pt idx="146">
                  <c:v>37.0</c:v>
                </c:pt>
                <c:pt idx="147">
                  <c:v>85.0</c:v>
                </c:pt>
                <c:pt idx="148">
                  <c:v>60.0</c:v>
                </c:pt>
                <c:pt idx="149">
                  <c:v>41.0</c:v>
                </c:pt>
                <c:pt idx="150">
                  <c:v>3.0</c:v>
                </c:pt>
                <c:pt idx="151">
                  <c:v>29.0</c:v>
                </c:pt>
                <c:pt idx="152">
                  <c:v>30.0</c:v>
                </c:pt>
                <c:pt idx="153">
                  <c:v>45.0</c:v>
                </c:pt>
                <c:pt idx="154">
                  <c:v>23.0</c:v>
                </c:pt>
                <c:pt idx="155">
                  <c:v>19.0</c:v>
                </c:pt>
                <c:pt idx="156">
                  <c:v>18.0</c:v>
                </c:pt>
                <c:pt idx="157">
                  <c:v>24.0</c:v>
                </c:pt>
                <c:pt idx="158">
                  <c:v>358.0</c:v>
                </c:pt>
                <c:pt idx="159">
                  <c:v>43.0</c:v>
                </c:pt>
                <c:pt idx="160">
                  <c:v>13.0</c:v>
                </c:pt>
                <c:pt idx="161">
                  <c:v>31.0</c:v>
                </c:pt>
                <c:pt idx="162">
                  <c:v>15.0</c:v>
                </c:pt>
                <c:pt idx="163">
                  <c:v>37.0</c:v>
                </c:pt>
                <c:pt idx="164">
                  <c:v>443.0</c:v>
                </c:pt>
                <c:pt idx="165">
                  <c:v>34.0</c:v>
                </c:pt>
                <c:pt idx="166">
                  <c:v>84.0</c:v>
                </c:pt>
                <c:pt idx="167">
                  <c:v>22.0</c:v>
                </c:pt>
                <c:pt idx="168">
                  <c:v>231.0</c:v>
                </c:pt>
                <c:pt idx="169">
                  <c:v>48.0</c:v>
                </c:pt>
                <c:pt idx="170">
                  <c:v>17.0</c:v>
                </c:pt>
                <c:pt idx="171">
                  <c:v>103.0</c:v>
                </c:pt>
                <c:pt idx="172">
                  <c:v>176.0</c:v>
                </c:pt>
                <c:pt idx="173">
                  <c:v>16.0</c:v>
                </c:pt>
                <c:pt idx="174">
                  <c:v>123.0</c:v>
                </c:pt>
                <c:pt idx="175">
                  <c:v>96.0</c:v>
                </c:pt>
                <c:pt idx="176">
                  <c:v>94.0</c:v>
                </c:pt>
                <c:pt idx="177">
                  <c:v>25.0</c:v>
                </c:pt>
                <c:pt idx="178">
                  <c:v>42.0</c:v>
                </c:pt>
                <c:pt idx="179">
                  <c:v>32.0</c:v>
                </c:pt>
                <c:pt idx="180">
                  <c:v>14.0</c:v>
                </c:pt>
                <c:pt idx="181">
                  <c:v>44.0</c:v>
                </c:pt>
                <c:pt idx="182">
                  <c:v>10.0</c:v>
                </c:pt>
                <c:pt idx="183">
                  <c:v>179.0</c:v>
                </c:pt>
              </c:numCache>
            </c:numRef>
          </c:yVal>
        </c:ser>
        <c:axId val="565706744"/>
        <c:axId val="565365672"/>
      </c:scatterChart>
      <c:valAx>
        <c:axId val="565706744"/>
        <c:scaling>
          <c:orientation val="minMax"/>
          <c:min val="0.9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Beta</a:t>
                </a:r>
              </a:p>
            </c:rich>
          </c:tx>
        </c:title>
        <c:numFmt formatCode="General" sourceLinked="1"/>
        <c:tickLblPos val="nextTo"/>
        <c:crossAx val="565365672"/>
        <c:crosses val="autoZero"/>
        <c:crossBetween val="midCat"/>
      </c:valAx>
      <c:valAx>
        <c:axId val="565365672"/>
        <c:scaling>
          <c:orientation val="minMax"/>
          <c:min val="0.0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DVKT per capita</a:t>
                </a:r>
              </a:p>
            </c:rich>
          </c:tx>
        </c:title>
        <c:numFmt formatCode="General" sourceLinked="1"/>
        <c:tickLblPos val="nextTo"/>
        <c:crossAx val="565706744"/>
        <c:crosses val="autoZero"/>
        <c:crossBetween val="midCat"/>
      </c:valAx>
    </c:plotArea>
    <c:plotVisOnly val="1"/>
  </c:char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US"/>
  <c:style val="12"/>
  <c:chart>
    <c:title>
      <c:tx>
        <c:rich>
          <a:bodyPr/>
          <a:lstStyle/>
          <a:p>
            <a:pPr>
              <a:defRPr/>
            </a:pPr>
            <a:r>
              <a:rPr lang="en-US"/>
              <a:t>DVKT per capita vs. Beta measure</a:t>
            </a:r>
          </a:p>
        </c:rich>
      </c:tx>
    </c:title>
    <c:plotArea>
      <c:layout/>
      <c:scatterChart>
        <c:scatterStyle val="lineMarker"/>
        <c:ser>
          <c:idx val="0"/>
          <c:order val="0"/>
          <c:tx>
            <c:strRef>
              <c:f>StataData!$BI$1</c:f>
              <c:strCache>
                <c:ptCount val="1"/>
                <c:pt idx="0">
                  <c:v>avg_tt</c:v>
                </c:pt>
              </c:strCache>
            </c:strRef>
          </c:tx>
          <c:spPr>
            <a:ln w="47625">
              <a:noFill/>
            </a:ln>
          </c:spPr>
          <c:marker>
            <c:symbol val="circle"/>
            <c:size val="6"/>
          </c:marker>
          <c:trendline>
            <c:trendlineType val="linear"/>
            <c:dispRSqr val="1"/>
            <c:dispEq val="1"/>
            <c:trendlineLbl>
              <c:layout>
                <c:manualLayout>
                  <c:x val="0.028778302712161"/>
                  <c:y val="-0.139761783236179"/>
                </c:manualLayout>
              </c:layout>
              <c:numFmt formatCode="General" sourceLinked="0"/>
            </c:trendlineLbl>
          </c:trendline>
          <c:xVal>
            <c:numRef>
              <c:f>StataData!$T$2:$T$185</c:f>
              <c:numCache>
                <c:formatCode>General</c:formatCode>
                <c:ptCount val="184"/>
                <c:pt idx="0">
                  <c:v>0.3783784</c:v>
                </c:pt>
                <c:pt idx="1">
                  <c:v>0.4298246</c:v>
                </c:pt>
                <c:pt idx="2">
                  <c:v>0.4876126</c:v>
                </c:pt>
                <c:pt idx="3">
                  <c:v>0.4176153</c:v>
                </c:pt>
                <c:pt idx="4">
                  <c:v>0.4475575</c:v>
                </c:pt>
                <c:pt idx="5">
                  <c:v>0.4848485</c:v>
                </c:pt>
                <c:pt idx="6">
                  <c:v>0.3415978</c:v>
                </c:pt>
                <c:pt idx="7">
                  <c:v>0.4912281</c:v>
                </c:pt>
                <c:pt idx="8">
                  <c:v>0.407767</c:v>
                </c:pt>
                <c:pt idx="9">
                  <c:v>0.3611111</c:v>
                </c:pt>
                <c:pt idx="10">
                  <c:v>0.4137931</c:v>
                </c:pt>
                <c:pt idx="11">
                  <c:v>0.4305556</c:v>
                </c:pt>
                <c:pt idx="12">
                  <c:v>0.4545455</c:v>
                </c:pt>
                <c:pt idx="13">
                  <c:v>0.4129353</c:v>
                </c:pt>
                <c:pt idx="14">
                  <c:v>0.4686131</c:v>
                </c:pt>
                <c:pt idx="15">
                  <c:v>0.5081776</c:v>
                </c:pt>
                <c:pt idx="16">
                  <c:v>0.449608</c:v>
                </c:pt>
                <c:pt idx="17">
                  <c:v>0.3954802</c:v>
                </c:pt>
                <c:pt idx="18">
                  <c:v>0.424549</c:v>
                </c:pt>
                <c:pt idx="19">
                  <c:v>0.3552971</c:v>
                </c:pt>
                <c:pt idx="20">
                  <c:v>0.3974359</c:v>
                </c:pt>
                <c:pt idx="21">
                  <c:v>0.3848134</c:v>
                </c:pt>
                <c:pt idx="22">
                  <c:v>0.417367</c:v>
                </c:pt>
                <c:pt idx="23">
                  <c:v>0.3980815</c:v>
                </c:pt>
                <c:pt idx="24">
                  <c:v>0.426396</c:v>
                </c:pt>
                <c:pt idx="25">
                  <c:v>0.3995043</c:v>
                </c:pt>
                <c:pt idx="26">
                  <c:v>0.4147964</c:v>
                </c:pt>
                <c:pt idx="27">
                  <c:v>0.4609375</c:v>
                </c:pt>
                <c:pt idx="28">
                  <c:v>0.4545455</c:v>
                </c:pt>
                <c:pt idx="29">
                  <c:v>0.4280303</c:v>
                </c:pt>
                <c:pt idx="30">
                  <c:v>0.545584</c:v>
                </c:pt>
                <c:pt idx="31">
                  <c:v>0.4464222</c:v>
                </c:pt>
                <c:pt idx="32">
                  <c:v>0.3800217</c:v>
                </c:pt>
                <c:pt idx="33">
                  <c:v>0.4393258</c:v>
                </c:pt>
                <c:pt idx="34">
                  <c:v>0.4019204</c:v>
                </c:pt>
                <c:pt idx="35">
                  <c:v>0.495935</c:v>
                </c:pt>
                <c:pt idx="36">
                  <c:v>0.3646617</c:v>
                </c:pt>
                <c:pt idx="37">
                  <c:v>0.3908046</c:v>
                </c:pt>
                <c:pt idx="38">
                  <c:v>0.4053333</c:v>
                </c:pt>
                <c:pt idx="39">
                  <c:v>0.4156379</c:v>
                </c:pt>
                <c:pt idx="40">
                  <c:v>0.3980583</c:v>
                </c:pt>
                <c:pt idx="41">
                  <c:v>0.4302326</c:v>
                </c:pt>
                <c:pt idx="42">
                  <c:v>0.4170243</c:v>
                </c:pt>
                <c:pt idx="43">
                  <c:v>0.4050117</c:v>
                </c:pt>
                <c:pt idx="44">
                  <c:v>0.4081962</c:v>
                </c:pt>
                <c:pt idx="45">
                  <c:v>0.4740787</c:v>
                </c:pt>
                <c:pt idx="46">
                  <c:v>0.3833333</c:v>
                </c:pt>
                <c:pt idx="47">
                  <c:v>0.4041298</c:v>
                </c:pt>
                <c:pt idx="48">
                  <c:v>0.4081633</c:v>
                </c:pt>
                <c:pt idx="49">
                  <c:v>0.44</c:v>
                </c:pt>
                <c:pt idx="50">
                  <c:v>0.5085911</c:v>
                </c:pt>
                <c:pt idx="51">
                  <c:v>0.4597701</c:v>
                </c:pt>
                <c:pt idx="52">
                  <c:v>0.4291667</c:v>
                </c:pt>
                <c:pt idx="53">
                  <c:v>0.4831541</c:v>
                </c:pt>
                <c:pt idx="54">
                  <c:v>0.3939394</c:v>
                </c:pt>
                <c:pt idx="55">
                  <c:v>0.4871795</c:v>
                </c:pt>
                <c:pt idx="56">
                  <c:v>0.3820817</c:v>
                </c:pt>
                <c:pt idx="57">
                  <c:v>0.3666667</c:v>
                </c:pt>
                <c:pt idx="58">
                  <c:v>0.4417671</c:v>
                </c:pt>
                <c:pt idx="59">
                  <c:v>0.374269</c:v>
                </c:pt>
                <c:pt idx="60">
                  <c:v>0.372549</c:v>
                </c:pt>
                <c:pt idx="61">
                  <c:v>0.3982074</c:v>
                </c:pt>
                <c:pt idx="62">
                  <c:v>0.452381</c:v>
                </c:pt>
                <c:pt idx="63">
                  <c:v>0.4552846</c:v>
                </c:pt>
                <c:pt idx="64">
                  <c:v>0.388535</c:v>
                </c:pt>
                <c:pt idx="65">
                  <c:v>0.3888889</c:v>
                </c:pt>
                <c:pt idx="66">
                  <c:v>0.3768116</c:v>
                </c:pt>
                <c:pt idx="67">
                  <c:v>0.3605442</c:v>
                </c:pt>
                <c:pt idx="68">
                  <c:v>0.4799447</c:v>
                </c:pt>
                <c:pt idx="69">
                  <c:v>0.4224138</c:v>
                </c:pt>
                <c:pt idx="70">
                  <c:v>0.4607843</c:v>
                </c:pt>
                <c:pt idx="71">
                  <c:v>0.3772291</c:v>
                </c:pt>
                <c:pt idx="72">
                  <c:v>0.4767628</c:v>
                </c:pt>
                <c:pt idx="73">
                  <c:v>0.4225195</c:v>
                </c:pt>
                <c:pt idx="74">
                  <c:v>0.3937198</c:v>
                </c:pt>
                <c:pt idx="75">
                  <c:v>0.4289196</c:v>
                </c:pt>
                <c:pt idx="76">
                  <c:v>0.3831418</c:v>
                </c:pt>
                <c:pt idx="77">
                  <c:v>0.4387597</c:v>
                </c:pt>
                <c:pt idx="78">
                  <c:v>0.4046185</c:v>
                </c:pt>
                <c:pt idx="79">
                  <c:v>0.4985507</c:v>
                </c:pt>
                <c:pt idx="80">
                  <c:v>0.4387097</c:v>
                </c:pt>
                <c:pt idx="81">
                  <c:v>0.3908046</c:v>
                </c:pt>
                <c:pt idx="82">
                  <c:v>0.359447</c:v>
                </c:pt>
                <c:pt idx="83">
                  <c:v>0.4249335</c:v>
                </c:pt>
                <c:pt idx="84">
                  <c:v>0.4774775</c:v>
                </c:pt>
                <c:pt idx="85">
                  <c:v>0.5402299</c:v>
                </c:pt>
                <c:pt idx="86">
                  <c:v>0.4907407</c:v>
                </c:pt>
                <c:pt idx="87">
                  <c:v>0.4112291</c:v>
                </c:pt>
                <c:pt idx="88">
                  <c:v>0.4083045</c:v>
                </c:pt>
                <c:pt idx="89">
                  <c:v>0.4348958</c:v>
                </c:pt>
                <c:pt idx="90">
                  <c:v>0.4261168</c:v>
                </c:pt>
                <c:pt idx="91">
                  <c:v>0.4623656</c:v>
                </c:pt>
                <c:pt idx="92">
                  <c:v>0.3435898</c:v>
                </c:pt>
                <c:pt idx="93">
                  <c:v>0.4229829</c:v>
                </c:pt>
                <c:pt idx="94">
                  <c:v>0.4187477</c:v>
                </c:pt>
                <c:pt idx="95">
                  <c:v>0.45</c:v>
                </c:pt>
                <c:pt idx="96">
                  <c:v>0.4797941</c:v>
                </c:pt>
                <c:pt idx="97">
                  <c:v>0.3992248</c:v>
                </c:pt>
                <c:pt idx="98">
                  <c:v>0.4339623</c:v>
                </c:pt>
                <c:pt idx="99">
                  <c:v>0.3701755</c:v>
                </c:pt>
                <c:pt idx="100">
                  <c:v>0.3976608</c:v>
                </c:pt>
                <c:pt idx="101">
                  <c:v>0.4166667</c:v>
                </c:pt>
                <c:pt idx="102">
                  <c:v>0.3739035</c:v>
                </c:pt>
                <c:pt idx="103">
                  <c:v>0.3575757</c:v>
                </c:pt>
                <c:pt idx="104">
                  <c:v>0.4270376</c:v>
                </c:pt>
                <c:pt idx="105">
                  <c:v>0.3809524</c:v>
                </c:pt>
                <c:pt idx="106">
                  <c:v>0.5832894</c:v>
                </c:pt>
                <c:pt idx="107">
                  <c:v>0.4108527</c:v>
                </c:pt>
                <c:pt idx="108">
                  <c:v>0.4127995</c:v>
                </c:pt>
                <c:pt idx="109">
                  <c:v>0.3618421</c:v>
                </c:pt>
                <c:pt idx="110">
                  <c:v>0.4298942</c:v>
                </c:pt>
                <c:pt idx="111">
                  <c:v>0.5128205</c:v>
                </c:pt>
                <c:pt idx="112">
                  <c:v>0.4704421</c:v>
                </c:pt>
                <c:pt idx="113">
                  <c:v>0.352381</c:v>
                </c:pt>
                <c:pt idx="114">
                  <c:v>0.4547069</c:v>
                </c:pt>
                <c:pt idx="115">
                  <c:v>0.4065041</c:v>
                </c:pt>
                <c:pt idx="116">
                  <c:v>0.3818182</c:v>
                </c:pt>
                <c:pt idx="117">
                  <c:v>0.4781746</c:v>
                </c:pt>
                <c:pt idx="118">
                  <c:v>0.3842975</c:v>
                </c:pt>
                <c:pt idx="119">
                  <c:v>0.452381</c:v>
                </c:pt>
                <c:pt idx="120">
                  <c:v>0.467764</c:v>
                </c:pt>
                <c:pt idx="121">
                  <c:v>0.3975904</c:v>
                </c:pt>
                <c:pt idx="122">
                  <c:v>0.3907692</c:v>
                </c:pt>
                <c:pt idx="123">
                  <c:v>0.5364583</c:v>
                </c:pt>
                <c:pt idx="124">
                  <c:v>0.3529412</c:v>
                </c:pt>
                <c:pt idx="125">
                  <c:v>0.453252</c:v>
                </c:pt>
                <c:pt idx="126">
                  <c:v>0.4053178</c:v>
                </c:pt>
                <c:pt idx="127">
                  <c:v>0.4193548</c:v>
                </c:pt>
                <c:pt idx="128">
                  <c:v>0.4548286</c:v>
                </c:pt>
                <c:pt idx="129">
                  <c:v>0.3782267</c:v>
                </c:pt>
                <c:pt idx="130">
                  <c:v>0.5564516</c:v>
                </c:pt>
                <c:pt idx="131">
                  <c:v>0.3571429</c:v>
                </c:pt>
                <c:pt idx="132">
                  <c:v>0.4084191</c:v>
                </c:pt>
                <c:pt idx="133">
                  <c:v>0.4028331</c:v>
                </c:pt>
                <c:pt idx="134">
                  <c:v>0.4189574</c:v>
                </c:pt>
                <c:pt idx="135">
                  <c:v>0.4273504</c:v>
                </c:pt>
                <c:pt idx="136">
                  <c:v>0.3692308</c:v>
                </c:pt>
                <c:pt idx="137">
                  <c:v>0.4180791</c:v>
                </c:pt>
                <c:pt idx="138">
                  <c:v>0.564805</c:v>
                </c:pt>
                <c:pt idx="139">
                  <c:v>0.5058479</c:v>
                </c:pt>
                <c:pt idx="140">
                  <c:v>0.4210526</c:v>
                </c:pt>
                <c:pt idx="141">
                  <c:v>0.3869464</c:v>
                </c:pt>
                <c:pt idx="142">
                  <c:v>0.4368</c:v>
                </c:pt>
                <c:pt idx="143">
                  <c:v>0.4820755</c:v>
                </c:pt>
                <c:pt idx="144">
                  <c:v>0.3718821</c:v>
                </c:pt>
                <c:pt idx="145">
                  <c:v>0.3723404</c:v>
                </c:pt>
                <c:pt idx="146">
                  <c:v>0.4135802</c:v>
                </c:pt>
                <c:pt idx="147">
                  <c:v>0.4086021</c:v>
                </c:pt>
                <c:pt idx="148">
                  <c:v>0.4554456</c:v>
                </c:pt>
                <c:pt idx="149">
                  <c:v>0.4457501</c:v>
                </c:pt>
                <c:pt idx="150">
                  <c:v>0.4102564</c:v>
                </c:pt>
                <c:pt idx="151">
                  <c:v>0.4942356</c:v>
                </c:pt>
                <c:pt idx="152">
                  <c:v>0.5057971</c:v>
                </c:pt>
                <c:pt idx="153">
                  <c:v>0.3758865</c:v>
                </c:pt>
                <c:pt idx="154">
                  <c:v>0.3589744</c:v>
                </c:pt>
                <c:pt idx="155">
                  <c:v>0.5638629</c:v>
                </c:pt>
                <c:pt idx="156">
                  <c:v>0.3950617</c:v>
                </c:pt>
                <c:pt idx="157">
                  <c:v>0.3962704</c:v>
                </c:pt>
                <c:pt idx="158">
                  <c:v>0.3898305</c:v>
                </c:pt>
                <c:pt idx="159">
                  <c:v>0.4976191</c:v>
                </c:pt>
                <c:pt idx="160">
                  <c:v>0.4370371</c:v>
                </c:pt>
                <c:pt idx="161">
                  <c:v>0.5552558</c:v>
                </c:pt>
                <c:pt idx="162">
                  <c:v>0.5242566</c:v>
                </c:pt>
                <c:pt idx="163">
                  <c:v>0.3546099</c:v>
                </c:pt>
                <c:pt idx="164">
                  <c:v>0.3875969</c:v>
                </c:pt>
                <c:pt idx="165">
                  <c:v>0.3975535</c:v>
                </c:pt>
                <c:pt idx="166">
                  <c:v>0.4252033</c:v>
                </c:pt>
                <c:pt idx="167">
                  <c:v>0.398374</c:v>
                </c:pt>
                <c:pt idx="168">
                  <c:v>0.4433333</c:v>
                </c:pt>
                <c:pt idx="169">
                  <c:v>0.3917422</c:v>
                </c:pt>
                <c:pt idx="170">
                  <c:v>0.4192708</c:v>
                </c:pt>
                <c:pt idx="171">
                  <c:v>0.3428962</c:v>
                </c:pt>
                <c:pt idx="172">
                  <c:v>0.4421769</c:v>
                </c:pt>
                <c:pt idx="173">
                  <c:v>0.4238095</c:v>
                </c:pt>
                <c:pt idx="174">
                  <c:v>0.3633157</c:v>
                </c:pt>
                <c:pt idx="175">
                  <c:v>0.4542636</c:v>
                </c:pt>
                <c:pt idx="176">
                  <c:v>0.3881482</c:v>
                </c:pt>
                <c:pt idx="177">
                  <c:v>0.5218254</c:v>
                </c:pt>
                <c:pt idx="178">
                  <c:v>0.4876099</c:v>
                </c:pt>
                <c:pt idx="179">
                  <c:v>0.4367089</c:v>
                </c:pt>
                <c:pt idx="180">
                  <c:v>0.4583333</c:v>
                </c:pt>
                <c:pt idx="181">
                  <c:v>0.414955</c:v>
                </c:pt>
                <c:pt idx="182">
                  <c:v>0.3596491</c:v>
                </c:pt>
                <c:pt idx="183">
                  <c:v>0.3824027</c:v>
                </c:pt>
              </c:numCache>
            </c:numRef>
          </c:xVal>
          <c:yVal>
            <c:numRef>
              <c:f>StataData!$BF$2:$BF$185</c:f>
              <c:numCache>
                <c:formatCode>General</c:formatCode>
                <c:ptCount val="184"/>
                <c:pt idx="0">
                  <c:v>111.0</c:v>
                </c:pt>
                <c:pt idx="1">
                  <c:v>25.0</c:v>
                </c:pt>
                <c:pt idx="2">
                  <c:v>36.0</c:v>
                </c:pt>
                <c:pt idx="3">
                  <c:v>28.0</c:v>
                </c:pt>
                <c:pt idx="4">
                  <c:v>152.0</c:v>
                </c:pt>
                <c:pt idx="5">
                  <c:v>19.0</c:v>
                </c:pt>
                <c:pt idx="6">
                  <c:v>41.0</c:v>
                </c:pt>
                <c:pt idx="7">
                  <c:v>27.0</c:v>
                </c:pt>
                <c:pt idx="8">
                  <c:v>40.0</c:v>
                </c:pt>
                <c:pt idx="9">
                  <c:v>140.0</c:v>
                </c:pt>
                <c:pt idx="10">
                  <c:v>14.0</c:v>
                </c:pt>
                <c:pt idx="11">
                  <c:v>6.0</c:v>
                </c:pt>
                <c:pt idx="12">
                  <c:v>45.0</c:v>
                </c:pt>
                <c:pt idx="13">
                  <c:v>356.0</c:v>
                </c:pt>
                <c:pt idx="14">
                  <c:v>60.0</c:v>
                </c:pt>
                <c:pt idx="15">
                  <c:v>71.0</c:v>
                </c:pt>
                <c:pt idx="16">
                  <c:v>38.0</c:v>
                </c:pt>
                <c:pt idx="17">
                  <c:v>40.0</c:v>
                </c:pt>
                <c:pt idx="18">
                  <c:v>41.0</c:v>
                </c:pt>
                <c:pt idx="19">
                  <c:v>45.0</c:v>
                </c:pt>
                <c:pt idx="20">
                  <c:v>38.0</c:v>
                </c:pt>
                <c:pt idx="21">
                  <c:v>40.0</c:v>
                </c:pt>
                <c:pt idx="22">
                  <c:v>67.0</c:v>
                </c:pt>
                <c:pt idx="23">
                  <c:v>12.0</c:v>
                </c:pt>
                <c:pt idx="24">
                  <c:v>18.0</c:v>
                </c:pt>
                <c:pt idx="25">
                  <c:v>40.0</c:v>
                </c:pt>
                <c:pt idx="26">
                  <c:v>31.0</c:v>
                </c:pt>
                <c:pt idx="27">
                  <c:v>14.0</c:v>
                </c:pt>
                <c:pt idx="28">
                  <c:v>402.0</c:v>
                </c:pt>
                <c:pt idx="29">
                  <c:v>18.0</c:v>
                </c:pt>
                <c:pt idx="30">
                  <c:v>14.0</c:v>
                </c:pt>
                <c:pt idx="31">
                  <c:v>37.0</c:v>
                </c:pt>
                <c:pt idx="32">
                  <c:v>50.0</c:v>
                </c:pt>
                <c:pt idx="33">
                  <c:v>27.0</c:v>
                </c:pt>
                <c:pt idx="34">
                  <c:v>41.0</c:v>
                </c:pt>
                <c:pt idx="35">
                  <c:v>17.0</c:v>
                </c:pt>
                <c:pt idx="36">
                  <c:v>89.0</c:v>
                </c:pt>
                <c:pt idx="37">
                  <c:v>66.0</c:v>
                </c:pt>
                <c:pt idx="38">
                  <c:v>6.0</c:v>
                </c:pt>
                <c:pt idx="39">
                  <c:v>34.0</c:v>
                </c:pt>
                <c:pt idx="40">
                  <c:v>128.0</c:v>
                </c:pt>
                <c:pt idx="41">
                  <c:v>119.0</c:v>
                </c:pt>
                <c:pt idx="42">
                  <c:v>49.0</c:v>
                </c:pt>
                <c:pt idx="43">
                  <c:v>47.0</c:v>
                </c:pt>
                <c:pt idx="44">
                  <c:v>44.0</c:v>
                </c:pt>
                <c:pt idx="45">
                  <c:v>51.0</c:v>
                </c:pt>
                <c:pt idx="46">
                  <c:v>41.0</c:v>
                </c:pt>
                <c:pt idx="47">
                  <c:v>87.0</c:v>
                </c:pt>
                <c:pt idx="48">
                  <c:v>43.0</c:v>
                </c:pt>
                <c:pt idx="49">
                  <c:v>30.0</c:v>
                </c:pt>
                <c:pt idx="50">
                  <c:v>27.0</c:v>
                </c:pt>
                <c:pt idx="51">
                  <c:v>17.0</c:v>
                </c:pt>
                <c:pt idx="52">
                  <c:v>55.0</c:v>
                </c:pt>
                <c:pt idx="53">
                  <c:v>57.0</c:v>
                </c:pt>
                <c:pt idx="54">
                  <c:v>98.0</c:v>
                </c:pt>
                <c:pt idx="55">
                  <c:v>88.0</c:v>
                </c:pt>
                <c:pt idx="56">
                  <c:v>49.0</c:v>
                </c:pt>
                <c:pt idx="57">
                  <c:v>73.0</c:v>
                </c:pt>
                <c:pt idx="58">
                  <c:v>89.0</c:v>
                </c:pt>
                <c:pt idx="59">
                  <c:v>6.0</c:v>
                </c:pt>
                <c:pt idx="60">
                  <c:v>27.0</c:v>
                </c:pt>
                <c:pt idx="61">
                  <c:v>48.0</c:v>
                </c:pt>
                <c:pt idx="62">
                  <c:v>7.0</c:v>
                </c:pt>
                <c:pt idx="63">
                  <c:v>135.0</c:v>
                </c:pt>
                <c:pt idx="64">
                  <c:v>278.0</c:v>
                </c:pt>
                <c:pt idx="65">
                  <c:v>45.0</c:v>
                </c:pt>
                <c:pt idx="66">
                  <c:v>69.0</c:v>
                </c:pt>
                <c:pt idx="67">
                  <c:v>133.0</c:v>
                </c:pt>
                <c:pt idx="68">
                  <c:v>22.0</c:v>
                </c:pt>
                <c:pt idx="69">
                  <c:v>64.0</c:v>
                </c:pt>
                <c:pt idx="70">
                  <c:v>4.0</c:v>
                </c:pt>
                <c:pt idx="71">
                  <c:v>110.0</c:v>
                </c:pt>
                <c:pt idx="72">
                  <c:v>33.0</c:v>
                </c:pt>
                <c:pt idx="73">
                  <c:v>39.0</c:v>
                </c:pt>
                <c:pt idx="74">
                  <c:v>82.0</c:v>
                </c:pt>
                <c:pt idx="75">
                  <c:v>52.0</c:v>
                </c:pt>
                <c:pt idx="76">
                  <c:v>108.0</c:v>
                </c:pt>
                <c:pt idx="77">
                  <c:v>22.0</c:v>
                </c:pt>
                <c:pt idx="78">
                  <c:v>88.0</c:v>
                </c:pt>
                <c:pt idx="79">
                  <c:v>15.0</c:v>
                </c:pt>
                <c:pt idx="80">
                  <c:v>87.0</c:v>
                </c:pt>
                <c:pt idx="81">
                  <c:v>7.0</c:v>
                </c:pt>
                <c:pt idx="82">
                  <c:v>81.0</c:v>
                </c:pt>
                <c:pt idx="83">
                  <c:v>34.0</c:v>
                </c:pt>
                <c:pt idx="84">
                  <c:v>3.0</c:v>
                </c:pt>
                <c:pt idx="85">
                  <c:v>37.0</c:v>
                </c:pt>
                <c:pt idx="86">
                  <c:v>16.0</c:v>
                </c:pt>
                <c:pt idx="87">
                  <c:v>69.0</c:v>
                </c:pt>
                <c:pt idx="88">
                  <c:v>25.0</c:v>
                </c:pt>
                <c:pt idx="89">
                  <c:v>112.0</c:v>
                </c:pt>
                <c:pt idx="90">
                  <c:v>62.0</c:v>
                </c:pt>
                <c:pt idx="91">
                  <c:v>12.0</c:v>
                </c:pt>
                <c:pt idx="92">
                  <c:v>137.0</c:v>
                </c:pt>
                <c:pt idx="93">
                  <c:v>16.0</c:v>
                </c:pt>
                <c:pt idx="94">
                  <c:v>49.0</c:v>
                </c:pt>
                <c:pt idx="95">
                  <c:v>27.0</c:v>
                </c:pt>
                <c:pt idx="96">
                  <c:v>44.0</c:v>
                </c:pt>
                <c:pt idx="97">
                  <c:v>48.0</c:v>
                </c:pt>
                <c:pt idx="98">
                  <c:v>122.0</c:v>
                </c:pt>
                <c:pt idx="99">
                  <c:v>41.0</c:v>
                </c:pt>
                <c:pt idx="100">
                  <c:v>12.0</c:v>
                </c:pt>
                <c:pt idx="101">
                  <c:v>4.0</c:v>
                </c:pt>
                <c:pt idx="102">
                  <c:v>84.0</c:v>
                </c:pt>
                <c:pt idx="103">
                  <c:v>43.0</c:v>
                </c:pt>
                <c:pt idx="104">
                  <c:v>106.0</c:v>
                </c:pt>
                <c:pt idx="105">
                  <c:v>140.0</c:v>
                </c:pt>
                <c:pt idx="106">
                  <c:v>29.0</c:v>
                </c:pt>
                <c:pt idx="107">
                  <c:v>84.0</c:v>
                </c:pt>
                <c:pt idx="108">
                  <c:v>60.0</c:v>
                </c:pt>
                <c:pt idx="109">
                  <c:v>55.0</c:v>
                </c:pt>
                <c:pt idx="110">
                  <c:v>12.0</c:v>
                </c:pt>
                <c:pt idx="111">
                  <c:v>27.0</c:v>
                </c:pt>
                <c:pt idx="112">
                  <c:v>44.0</c:v>
                </c:pt>
                <c:pt idx="113">
                  <c:v>18.0</c:v>
                </c:pt>
                <c:pt idx="114">
                  <c:v>15.0</c:v>
                </c:pt>
                <c:pt idx="115">
                  <c:v>22.0</c:v>
                </c:pt>
                <c:pt idx="116">
                  <c:v>154.0</c:v>
                </c:pt>
                <c:pt idx="117">
                  <c:v>11.0</c:v>
                </c:pt>
                <c:pt idx="118">
                  <c:v>50.0</c:v>
                </c:pt>
                <c:pt idx="119">
                  <c:v>40.0</c:v>
                </c:pt>
                <c:pt idx="120">
                  <c:v>118.0</c:v>
                </c:pt>
                <c:pt idx="121">
                  <c:v>123.0</c:v>
                </c:pt>
                <c:pt idx="122">
                  <c:v>28.0</c:v>
                </c:pt>
                <c:pt idx="123">
                  <c:v>24.0</c:v>
                </c:pt>
                <c:pt idx="124">
                  <c:v>11.0</c:v>
                </c:pt>
                <c:pt idx="125">
                  <c:v>13.0</c:v>
                </c:pt>
                <c:pt idx="126">
                  <c:v>38.0</c:v>
                </c:pt>
                <c:pt idx="127">
                  <c:v>36.0</c:v>
                </c:pt>
                <c:pt idx="128">
                  <c:v>41.0</c:v>
                </c:pt>
                <c:pt idx="129">
                  <c:v>77.0</c:v>
                </c:pt>
                <c:pt idx="130">
                  <c:v>45.0</c:v>
                </c:pt>
                <c:pt idx="131">
                  <c:v>293.0</c:v>
                </c:pt>
                <c:pt idx="132">
                  <c:v>52.0</c:v>
                </c:pt>
                <c:pt idx="133">
                  <c:v>25.0</c:v>
                </c:pt>
                <c:pt idx="134">
                  <c:v>40.0</c:v>
                </c:pt>
                <c:pt idx="135">
                  <c:v>18.0</c:v>
                </c:pt>
                <c:pt idx="136">
                  <c:v>180.0</c:v>
                </c:pt>
                <c:pt idx="137">
                  <c:v>36.0</c:v>
                </c:pt>
                <c:pt idx="138">
                  <c:v>56.0</c:v>
                </c:pt>
                <c:pt idx="139">
                  <c:v>23.0</c:v>
                </c:pt>
                <c:pt idx="140">
                  <c:v>89.0</c:v>
                </c:pt>
                <c:pt idx="141">
                  <c:v>147.0</c:v>
                </c:pt>
                <c:pt idx="142">
                  <c:v>44.0</c:v>
                </c:pt>
                <c:pt idx="143">
                  <c:v>63.0</c:v>
                </c:pt>
                <c:pt idx="144">
                  <c:v>24.0</c:v>
                </c:pt>
                <c:pt idx="145">
                  <c:v>150.0</c:v>
                </c:pt>
                <c:pt idx="146">
                  <c:v>37.0</c:v>
                </c:pt>
                <c:pt idx="147">
                  <c:v>85.0</c:v>
                </c:pt>
                <c:pt idx="148">
                  <c:v>60.0</c:v>
                </c:pt>
                <c:pt idx="149">
                  <c:v>41.0</c:v>
                </c:pt>
                <c:pt idx="150">
                  <c:v>3.0</c:v>
                </c:pt>
                <c:pt idx="151">
                  <c:v>29.0</c:v>
                </c:pt>
                <c:pt idx="152">
                  <c:v>30.0</c:v>
                </c:pt>
                <c:pt idx="153">
                  <c:v>45.0</c:v>
                </c:pt>
                <c:pt idx="154">
                  <c:v>23.0</c:v>
                </c:pt>
                <c:pt idx="155">
                  <c:v>19.0</c:v>
                </c:pt>
                <c:pt idx="156">
                  <c:v>18.0</c:v>
                </c:pt>
                <c:pt idx="157">
                  <c:v>24.0</c:v>
                </c:pt>
                <c:pt idx="158">
                  <c:v>358.0</c:v>
                </c:pt>
                <c:pt idx="159">
                  <c:v>43.0</c:v>
                </c:pt>
                <c:pt idx="160">
                  <c:v>13.0</c:v>
                </c:pt>
                <c:pt idx="161">
                  <c:v>31.0</c:v>
                </c:pt>
                <c:pt idx="162">
                  <c:v>15.0</c:v>
                </c:pt>
                <c:pt idx="163">
                  <c:v>37.0</c:v>
                </c:pt>
                <c:pt idx="164">
                  <c:v>443.0</c:v>
                </c:pt>
                <c:pt idx="165">
                  <c:v>34.0</c:v>
                </c:pt>
                <c:pt idx="166">
                  <c:v>84.0</c:v>
                </c:pt>
                <c:pt idx="167">
                  <c:v>22.0</c:v>
                </c:pt>
                <c:pt idx="168">
                  <c:v>231.0</c:v>
                </c:pt>
                <c:pt idx="169">
                  <c:v>48.0</c:v>
                </c:pt>
                <c:pt idx="170">
                  <c:v>17.0</c:v>
                </c:pt>
                <c:pt idx="171">
                  <c:v>103.0</c:v>
                </c:pt>
                <c:pt idx="172">
                  <c:v>176.0</c:v>
                </c:pt>
                <c:pt idx="173">
                  <c:v>16.0</c:v>
                </c:pt>
                <c:pt idx="174">
                  <c:v>123.0</c:v>
                </c:pt>
                <c:pt idx="175">
                  <c:v>96.0</c:v>
                </c:pt>
                <c:pt idx="176">
                  <c:v>94.0</c:v>
                </c:pt>
                <c:pt idx="177">
                  <c:v>25.0</c:v>
                </c:pt>
                <c:pt idx="178">
                  <c:v>42.0</c:v>
                </c:pt>
                <c:pt idx="179">
                  <c:v>32.0</c:v>
                </c:pt>
                <c:pt idx="180">
                  <c:v>14.0</c:v>
                </c:pt>
                <c:pt idx="181">
                  <c:v>44.0</c:v>
                </c:pt>
                <c:pt idx="182">
                  <c:v>10.0</c:v>
                </c:pt>
                <c:pt idx="183">
                  <c:v>179.0</c:v>
                </c:pt>
              </c:numCache>
            </c:numRef>
          </c:yVal>
        </c:ser>
        <c:axId val="565326920"/>
        <c:axId val="565318088"/>
      </c:scatterChart>
      <c:valAx>
        <c:axId val="565326920"/>
        <c:scaling>
          <c:orientation val="minMax"/>
          <c:min val="0.3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Beta</a:t>
                </a:r>
              </a:p>
            </c:rich>
          </c:tx>
        </c:title>
        <c:numFmt formatCode="General" sourceLinked="1"/>
        <c:tickLblPos val="nextTo"/>
        <c:crossAx val="565318088"/>
        <c:crosses val="autoZero"/>
        <c:crossBetween val="midCat"/>
      </c:valAx>
      <c:valAx>
        <c:axId val="565318088"/>
        <c:scaling>
          <c:orientation val="minMax"/>
          <c:min val="0.0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DVKT per capita</a:t>
                </a:r>
              </a:p>
            </c:rich>
          </c:tx>
        </c:title>
        <c:numFmt formatCode="General" sourceLinked="1"/>
        <c:tickLblPos val="nextTo"/>
        <c:crossAx val="565326920"/>
        <c:crosses val="autoZero"/>
        <c:crossBetween val="midCat"/>
      </c:valAx>
    </c:plotArea>
    <c:plotVisOnly val="1"/>
  </c:char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US"/>
  <c:style val="12"/>
  <c:chart>
    <c:title>
      <c:tx>
        <c:rich>
          <a:bodyPr/>
          <a:lstStyle/>
          <a:p>
            <a:pPr>
              <a:defRPr/>
            </a:pPr>
            <a:r>
              <a:rPr lang="en-US"/>
              <a:t>DVKT per capita vs. Eta measure</a:t>
            </a:r>
          </a:p>
        </c:rich>
      </c:tx>
    </c:title>
    <c:plotArea>
      <c:layout/>
      <c:scatterChart>
        <c:scatterStyle val="lineMarker"/>
        <c:ser>
          <c:idx val="0"/>
          <c:order val="0"/>
          <c:tx>
            <c:strRef>
              <c:f>StataData!$BI$1</c:f>
              <c:strCache>
                <c:ptCount val="1"/>
                <c:pt idx="0">
                  <c:v>avg_tt</c:v>
                </c:pt>
              </c:strCache>
            </c:strRef>
          </c:tx>
          <c:spPr>
            <a:ln w="47625">
              <a:noFill/>
            </a:ln>
          </c:spPr>
          <c:marker>
            <c:symbol val="circle"/>
            <c:size val="6"/>
          </c:marker>
          <c:trendline>
            <c:trendlineType val="linear"/>
            <c:dispRSqr val="1"/>
            <c:dispEq val="1"/>
            <c:trendlineLbl>
              <c:layout>
                <c:manualLayout>
                  <c:x val="0.028778302712161"/>
                  <c:y val="-0.139761783236179"/>
                </c:manualLayout>
              </c:layout>
              <c:numFmt formatCode="General" sourceLinked="0"/>
            </c:trendlineLbl>
          </c:trendline>
          <c:xVal>
            <c:numRef>
              <c:f>StataData!$U$2:$U$185</c:f>
              <c:numCache>
                <c:formatCode>General</c:formatCode>
                <c:ptCount val="184"/>
                <c:pt idx="0">
                  <c:v>0.4899587</c:v>
                </c:pt>
                <c:pt idx="1">
                  <c:v>0.2482119</c:v>
                </c:pt>
                <c:pt idx="2">
                  <c:v>0.1619584</c:v>
                </c:pt>
                <c:pt idx="3">
                  <c:v>0.1633612</c:v>
                </c:pt>
                <c:pt idx="4">
                  <c:v>0.2579015</c:v>
                </c:pt>
                <c:pt idx="5">
                  <c:v>0.1677622</c:v>
                </c:pt>
                <c:pt idx="6">
                  <c:v>0.3830038</c:v>
                </c:pt>
                <c:pt idx="7">
                  <c:v>0.1629161</c:v>
                </c:pt>
                <c:pt idx="8">
                  <c:v>1.115361</c:v>
                </c:pt>
                <c:pt idx="9">
                  <c:v>0.6125904</c:v>
                </c:pt>
                <c:pt idx="10">
                  <c:v>0.222189</c:v>
                </c:pt>
                <c:pt idx="11">
                  <c:v>0.1395922</c:v>
                </c:pt>
                <c:pt idx="12">
                  <c:v>0.2013153</c:v>
                </c:pt>
                <c:pt idx="13">
                  <c:v>1.071265</c:v>
                </c:pt>
                <c:pt idx="14">
                  <c:v>0.1837195</c:v>
                </c:pt>
                <c:pt idx="15">
                  <c:v>0.1684254</c:v>
                </c:pt>
                <c:pt idx="16">
                  <c:v>0.1958085</c:v>
                </c:pt>
                <c:pt idx="17">
                  <c:v>0.5559053</c:v>
                </c:pt>
                <c:pt idx="18">
                  <c:v>0.1809707</c:v>
                </c:pt>
                <c:pt idx="19">
                  <c:v>0.5625877</c:v>
                </c:pt>
                <c:pt idx="20">
                  <c:v>0.2431433</c:v>
                </c:pt>
                <c:pt idx="21">
                  <c:v>0.4855933</c:v>
                </c:pt>
                <c:pt idx="22">
                  <c:v>0.9330833</c:v>
                </c:pt>
                <c:pt idx="23">
                  <c:v>0.1817937</c:v>
                </c:pt>
                <c:pt idx="24">
                  <c:v>0.1655755</c:v>
                </c:pt>
                <c:pt idx="25">
                  <c:v>0.1740896</c:v>
                </c:pt>
                <c:pt idx="26">
                  <c:v>0.1802262</c:v>
                </c:pt>
                <c:pt idx="27">
                  <c:v>0.1946684</c:v>
                </c:pt>
                <c:pt idx="28">
                  <c:v>0.5088247</c:v>
                </c:pt>
                <c:pt idx="29">
                  <c:v>0.1394471</c:v>
                </c:pt>
                <c:pt idx="30">
                  <c:v>0.1515709</c:v>
                </c:pt>
                <c:pt idx="31">
                  <c:v>0.1789792</c:v>
                </c:pt>
                <c:pt idx="32">
                  <c:v>0.5191128</c:v>
                </c:pt>
                <c:pt idx="33">
                  <c:v>0.2512944</c:v>
                </c:pt>
                <c:pt idx="34">
                  <c:v>0.4216298</c:v>
                </c:pt>
                <c:pt idx="35">
                  <c:v>0.1537863</c:v>
                </c:pt>
                <c:pt idx="36">
                  <c:v>0.5350335</c:v>
                </c:pt>
                <c:pt idx="37">
                  <c:v>0.4099774</c:v>
                </c:pt>
                <c:pt idx="38">
                  <c:v>0.1643192</c:v>
                </c:pt>
                <c:pt idx="39">
                  <c:v>0.3210091</c:v>
                </c:pt>
                <c:pt idx="40">
                  <c:v>0.8162213</c:v>
                </c:pt>
                <c:pt idx="41">
                  <c:v>1.086033</c:v>
                </c:pt>
                <c:pt idx="42">
                  <c:v>0.1797862</c:v>
                </c:pt>
                <c:pt idx="43">
                  <c:v>0.3825859</c:v>
                </c:pt>
                <c:pt idx="44">
                  <c:v>0.1924462</c:v>
                </c:pt>
                <c:pt idx="45">
                  <c:v>0.1674343</c:v>
                </c:pt>
                <c:pt idx="46">
                  <c:v>0.2702379</c:v>
                </c:pt>
                <c:pt idx="47">
                  <c:v>0.8238385</c:v>
                </c:pt>
                <c:pt idx="48">
                  <c:v>0.7469509</c:v>
                </c:pt>
                <c:pt idx="49">
                  <c:v>0.1208659</c:v>
                </c:pt>
                <c:pt idx="50">
                  <c:v>0.1780273</c:v>
                </c:pt>
                <c:pt idx="51">
                  <c:v>0.1972429</c:v>
                </c:pt>
                <c:pt idx="52">
                  <c:v>0.2725034</c:v>
                </c:pt>
                <c:pt idx="53">
                  <c:v>0.1748625</c:v>
                </c:pt>
                <c:pt idx="54">
                  <c:v>0.3728148</c:v>
                </c:pt>
                <c:pt idx="55">
                  <c:v>0.1721673</c:v>
                </c:pt>
                <c:pt idx="56">
                  <c:v>0.5320497</c:v>
                </c:pt>
                <c:pt idx="57">
                  <c:v>0.5066936</c:v>
                </c:pt>
                <c:pt idx="58">
                  <c:v>0.9711087</c:v>
                </c:pt>
                <c:pt idx="59">
                  <c:v>0.1656089</c:v>
                </c:pt>
                <c:pt idx="60">
                  <c:v>0.6870254</c:v>
                </c:pt>
                <c:pt idx="61">
                  <c:v>0.285971</c:v>
                </c:pt>
                <c:pt idx="62">
                  <c:v>0.1390882</c:v>
                </c:pt>
                <c:pt idx="63">
                  <c:v>0.2429998</c:v>
                </c:pt>
                <c:pt idx="64">
                  <c:v>0.6681179</c:v>
                </c:pt>
                <c:pt idx="65">
                  <c:v>0.6646035</c:v>
                </c:pt>
                <c:pt idx="66">
                  <c:v>0.4062619</c:v>
                </c:pt>
                <c:pt idx="67">
                  <c:v>0.5190116</c:v>
                </c:pt>
                <c:pt idx="68">
                  <c:v>0.1613389</c:v>
                </c:pt>
                <c:pt idx="69">
                  <c:v>0.9227523</c:v>
                </c:pt>
                <c:pt idx="70">
                  <c:v>0.1219932</c:v>
                </c:pt>
                <c:pt idx="71">
                  <c:v>0.5758829</c:v>
                </c:pt>
                <c:pt idx="72">
                  <c:v>0.1626612</c:v>
                </c:pt>
                <c:pt idx="73">
                  <c:v>0.4635433</c:v>
                </c:pt>
                <c:pt idx="74">
                  <c:v>0.5290962</c:v>
                </c:pt>
                <c:pt idx="75">
                  <c:v>0.2180381</c:v>
                </c:pt>
                <c:pt idx="76">
                  <c:v>0.4031216</c:v>
                </c:pt>
                <c:pt idx="77">
                  <c:v>0.1685515</c:v>
                </c:pt>
                <c:pt idx="78">
                  <c:v>0.3923258</c:v>
                </c:pt>
                <c:pt idx="79">
                  <c:v>0.1228171</c:v>
                </c:pt>
                <c:pt idx="80">
                  <c:v>0.1730816</c:v>
                </c:pt>
                <c:pt idx="81">
                  <c:v>0.1993022</c:v>
                </c:pt>
                <c:pt idx="82">
                  <c:v>0.4930696</c:v>
                </c:pt>
                <c:pt idx="83">
                  <c:v>0.1959502</c:v>
                </c:pt>
                <c:pt idx="84">
                  <c:v>0.101103</c:v>
                </c:pt>
                <c:pt idx="85">
                  <c:v>0.1449923</c:v>
                </c:pt>
                <c:pt idx="86">
                  <c:v>0.214582</c:v>
                </c:pt>
                <c:pt idx="87">
                  <c:v>0.3073068</c:v>
                </c:pt>
                <c:pt idx="88">
                  <c:v>0.4164339</c:v>
                </c:pt>
                <c:pt idx="89">
                  <c:v>0.2539124</c:v>
                </c:pt>
                <c:pt idx="90">
                  <c:v>0.1758754</c:v>
                </c:pt>
                <c:pt idx="91">
                  <c:v>0.1612933</c:v>
                </c:pt>
                <c:pt idx="92">
                  <c:v>0.4070624</c:v>
                </c:pt>
                <c:pt idx="93">
                  <c:v>0.1553131</c:v>
                </c:pt>
                <c:pt idx="94">
                  <c:v>0.1972228</c:v>
                </c:pt>
                <c:pt idx="95">
                  <c:v>0.1845439</c:v>
                </c:pt>
                <c:pt idx="96">
                  <c:v>0.1897853</c:v>
                </c:pt>
                <c:pt idx="97">
                  <c:v>0.26052</c:v>
                </c:pt>
                <c:pt idx="98">
                  <c:v>0.9720382</c:v>
                </c:pt>
                <c:pt idx="99">
                  <c:v>0.6564994</c:v>
                </c:pt>
                <c:pt idx="100">
                  <c:v>0.1471273</c:v>
                </c:pt>
                <c:pt idx="101">
                  <c:v>0.260946</c:v>
                </c:pt>
                <c:pt idx="102">
                  <c:v>0.4222462</c:v>
                </c:pt>
                <c:pt idx="103">
                  <c:v>0.1118362</c:v>
                </c:pt>
                <c:pt idx="104">
                  <c:v>0.192509</c:v>
                </c:pt>
                <c:pt idx="105">
                  <c:v>0.3566432</c:v>
                </c:pt>
                <c:pt idx="106">
                  <c:v>0.1408899</c:v>
                </c:pt>
                <c:pt idx="107">
                  <c:v>0.2071696</c:v>
                </c:pt>
                <c:pt idx="108">
                  <c:v>0.1905039</c:v>
                </c:pt>
                <c:pt idx="109">
                  <c:v>0.437942</c:v>
                </c:pt>
                <c:pt idx="110">
                  <c:v>0.1235676</c:v>
                </c:pt>
                <c:pt idx="111">
                  <c:v>0.2022159</c:v>
                </c:pt>
                <c:pt idx="112">
                  <c:v>0.1706686</c:v>
                </c:pt>
                <c:pt idx="113">
                  <c:v>0.1895174</c:v>
                </c:pt>
                <c:pt idx="114">
                  <c:v>0.1728534</c:v>
                </c:pt>
                <c:pt idx="115">
                  <c:v>0.1834044</c:v>
                </c:pt>
                <c:pt idx="116">
                  <c:v>0.6216823</c:v>
                </c:pt>
                <c:pt idx="117">
                  <c:v>0.1542713</c:v>
                </c:pt>
                <c:pt idx="118">
                  <c:v>0.6035019</c:v>
                </c:pt>
                <c:pt idx="119">
                  <c:v>0.150295</c:v>
                </c:pt>
                <c:pt idx="120">
                  <c:v>0.1810163</c:v>
                </c:pt>
                <c:pt idx="121">
                  <c:v>0.6138306</c:v>
                </c:pt>
                <c:pt idx="122">
                  <c:v>0.2364106</c:v>
                </c:pt>
                <c:pt idx="123">
                  <c:v>0.1546426</c:v>
                </c:pt>
                <c:pt idx="124">
                  <c:v>0.1263701</c:v>
                </c:pt>
                <c:pt idx="125">
                  <c:v>0.1665404</c:v>
                </c:pt>
                <c:pt idx="126">
                  <c:v>0.3570831</c:v>
                </c:pt>
                <c:pt idx="127">
                  <c:v>0.2009094</c:v>
                </c:pt>
                <c:pt idx="128">
                  <c:v>0.1706872</c:v>
                </c:pt>
                <c:pt idx="129">
                  <c:v>0.260321</c:v>
                </c:pt>
                <c:pt idx="130">
                  <c:v>0.1312079</c:v>
                </c:pt>
                <c:pt idx="131">
                  <c:v>0.2234359</c:v>
                </c:pt>
                <c:pt idx="132">
                  <c:v>0.1827467</c:v>
                </c:pt>
                <c:pt idx="133">
                  <c:v>0.1947312</c:v>
                </c:pt>
                <c:pt idx="134">
                  <c:v>0.2361553</c:v>
                </c:pt>
                <c:pt idx="135">
                  <c:v>0.1988348</c:v>
                </c:pt>
                <c:pt idx="136">
                  <c:v>0.6180419</c:v>
                </c:pt>
                <c:pt idx="137">
                  <c:v>0.5822966</c:v>
                </c:pt>
                <c:pt idx="138">
                  <c:v>0.1529604</c:v>
                </c:pt>
                <c:pt idx="139">
                  <c:v>0.147764</c:v>
                </c:pt>
                <c:pt idx="140">
                  <c:v>0.228021</c:v>
                </c:pt>
                <c:pt idx="141">
                  <c:v>0.2175032</c:v>
                </c:pt>
                <c:pt idx="142">
                  <c:v>0.2828008</c:v>
                </c:pt>
                <c:pt idx="143">
                  <c:v>0.1945794</c:v>
                </c:pt>
                <c:pt idx="144">
                  <c:v>0.5704308</c:v>
                </c:pt>
                <c:pt idx="145">
                  <c:v>0.6293048</c:v>
                </c:pt>
                <c:pt idx="146">
                  <c:v>0.185347</c:v>
                </c:pt>
                <c:pt idx="147">
                  <c:v>1.431577</c:v>
                </c:pt>
                <c:pt idx="148">
                  <c:v>0.2031047</c:v>
                </c:pt>
                <c:pt idx="149">
                  <c:v>0.1888724</c:v>
                </c:pt>
                <c:pt idx="150">
                  <c:v>0.1914173</c:v>
                </c:pt>
                <c:pt idx="151">
                  <c:v>0.1498607</c:v>
                </c:pt>
                <c:pt idx="152">
                  <c:v>0.1783028</c:v>
                </c:pt>
                <c:pt idx="153">
                  <c:v>0.5788531</c:v>
                </c:pt>
                <c:pt idx="154">
                  <c:v>0.1227662</c:v>
                </c:pt>
                <c:pt idx="155">
                  <c:v>0.1701145</c:v>
                </c:pt>
                <c:pt idx="156">
                  <c:v>0.1930701</c:v>
                </c:pt>
                <c:pt idx="157">
                  <c:v>0.3812651</c:v>
                </c:pt>
                <c:pt idx="158">
                  <c:v>0.8218374</c:v>
                </c:pt>
                <c:pt idx="159">
                  <c:v>0.1570099</c:v>
                </c:pt>
                <c:pt idx="160">
                  <c:v>0.1392503</c:v>
                </c:pt>
                <c:pt idx="161">
                  <c:v>0.1446479</c:v>
                </c:pt>
                <c:pt idx="162">
                  <c:v>0.1722338</c:v>
                </c:pt>
                <c:pt idx="163">
                  <c:v>0.4885848</c:v>
                </c:pt>
                <c:pt idx="164">
                  <c:v>0.386451</c:v>
                </c:pt>
                <c:pt idx="165">
                  <c:v>0.1538612</c:v>
                </c:pt>
                <c:pt idx="166">
                  <c:v>0.2399595</c:v>
                </c:pt>
                <c:pt idx="167">
                  <c:v>0.1858793</c:v>
                </c:pt>
                <c:pt idx="168">
                  <c:v>1.002399</c:v>
                </c:pt>
                <c:pt idx="169">
                  <c:v>0.1956498</c:v>
                </c:pt>
                <c:pt idx="170">
                  <c:v>0.1370868</c:v>
                </c:pt>
                <c:pt idx="171">
                  <c:v>0.4837081</c:v>
                </c:pt>
                <c:pt idx="172">
                  <c:v>0.9451382</c:v>
                </c:pt>
                <c:pt idx="173">
                  <c:v>0.1332007</c:v>
                </c:pt>
                <c:pt idx="174">
                  <c:v>0.6507167</c:v>
                </c:pt>
                <c:pt idx="175">
                  <c:v>0.2123268</c:v>
                </c:pt>
                <c:pt idx="176">
                  <c:v>0.4077324</c:v>
                </c:pt>
                <c:pt idx="177">
                  <c:v>0.1635922</c:v>
                </c:pt>
                <c:pt idx="178">
                  <c:v>0.1618894</c:v>
                </c:pt>
                <c:pt idx="179">
                  <c:v>0.20924</c:v>
                </c:pt>
                <c:pt idx="180">
                  <c:v>0.0801476</c:v>
                </c:pt>
                <c:pt idx="181">
                  <c:v>0.187224</c:v>
                </c:pt>
                <c:pt idx="182">
                  <c:v>0.2006145</c:v>
                </c:pt>
                <c:pt idx="183">
                  <c:v>0.6602525</c:v>
                </c:pt>
              </c:numCache>
            </c:numRef>
          </c:xVal>
          <c:yVal>
            <c:numRef>
              <c:f>StataData!$BF$2:$BF$185</c:f>
              <c:numCache>
                <c:formatCode>General</c:formatCode>
                <c:ptCount val="184"/>
                <c:pt idx="0">
                  <c:v>111.0</c:v>
                </c:pt>
                <c:pt idx="1">
                  <c:v>25.0</c:v>
                </c:pt>
                <c:pt idx="2">
                  <c:v>36.0</c:v>
                </c:pt>
                <c:pt idx="3">
                  <c:v>28.0</c:v>
                </c:pt>
                <c:pt idx="4">
                  <c:v>152.0</c:v>
                </c:pt>
                <c:pt idx="5">
                  <c:v>19.0</c:v>
                </c:pt>
                <c:pt idx="6">
                  <c:v>41.0</c:v>
                </c:pt>
                <c:pt idx="7">
                  <c:v>27.0</c:v>
                </c:pt>
                <c:pt idx="8">
                  <c:v>40.0</c:v>
                </c:pt>
                <c:pt idx="9">
                  <c:v>140.0</c:v>
                </c:pt>
                <c:pt idx="10">
                  <c:v>14.0</c:v>
                </c:pt>
                <c:pt idx="11">
                  <c:v>6.0</c:v>
                </c:pt>
                <c:pt idx="12">
                  <c:v>45.0</c:v>
                </c:pt>
                <c:pt idx="13">
                  <c:v>356.0</c:v>
                </c:pt>
                <c:pt idx="14">
                  <c:v>60.0</c:v>
                </c:pt>
                <c:pt idx="15">
                  <c:v>71.0</c:v>
                </c:pt>
                <c:pt idx="16">
                  <c:v>38.0</c:v>
                </c:pt>
                <c:pt idx="17">
                  <c:v>40.0</c:v>
                </c:pt>
                <c:pt idx="18">
                  <c:v>41.0</c:v>
                </c:pt>
                <c:pt idx="19">
                  <c:v>45.0</c:v>
                </c:pt>
                <c:pt idx="20">
                  <c:v>38.0</c:v>
                </c:pt>
                <c:pt idx="21">
                  <c:v>40.0</c:v>
                </c:pt>
                <c:pt idx="22">
                  <c:v>67.0</c:v>
                </c:pt>
                <c:pt idx="23">
                  <c:v>12.0</c:v>
                </c:pt>
                <c:pt idx="24">
                  <c:v>18.0</c:v>
                </c:pt>
                <c:pt idx="25">
                  <c:v>40.0</c:v>
                </c:pt>
                <c:pt idx="26">
                  <c:v>31.0</c:v>
                </c:pt>
                <c:pt idx="27">
                  <c:v>14.0</c:v>
                </c:pt>
                <c:pt idx="28">
                  <c:v>402.0</c:v>
                </c:pt>
                <c:pt idx="29">
                  <c:v>18.0</c:v>
                </c:pt>
                <c:pt idx="30">
                  <c:v>14.0</c:v>
                </c:pt>
                <c:pt idx="31">
                  <c:v>37.0</c:v>
                </c:pt>
                <c:pt idx="32">
                  <c:v>50.0</c:v>
                </c:pt>
                <c:pt idx="33">
                  <c:v>27.0</c:v>
                </c:pt>
                <c:pt idx="34">
                  <c:v>41.0</c:v>
                </c:pt>
                <c:pt idx="35">
                  <c:v>17.0</c:v>
                </c:pt>
                <c:pt idx="36">
                  <c:v>89.0</c:v>
                </c:pt>
                <c:pt idx="37">
                  <c:v>66.0</c:v>
                </c:pt>
                <c:pt idx="38">
                  <c:v>6.0</c:v>
                </c:pt>
                <c:pt idx="39">
                  <c:v>34.0</c:v>
                </c:pt>
                <c:pt idx="40">
                  <c:v>128.0</c:v>
                </c:pt>
                <c:pt idx="41">
                  <c:v>119.0</c:v>
                </c:pt>
                <c:pt idx="42">
                  <c:v>49.0</c:v>
                </c:pt>
                <c:pt idx="43">
                  <c:v>47.0</c:v>
                </c:pt>
                <c:pt idx="44">
                  <c:v>44.0</c:v>
                </c:pt>
                <c:pt idx="45">
                  <c:v>51.0</c:v>
                </c:pt>
                <c:pt idx="46">
                  <c:v>41.0</c:v>
                </c:pt>
                <c:pt idx="47">
                  <c:v>87.0</c:v>
                </c:pt>
                <c:pt idx="48">
                  <c:v>43.0</c:v>
                </c:pt>
                <c:pt idx="49">
                  <c:v>30.0</c:v>
                </c:pt>
                <c:pt idx="50">
                  <c:v>27.0</c:v>
                </c:pt>
                <c:pt idx="51">
                  <c:v>17.0</c:v>
                </c:pt>
                <c:pt idx="52">
                  <c:v>55.0</c:v>
                </c:pt>
                <c:pt idx="53">
                  <c:v>57.0</c:v>
                </c:pt>
                <c:pt idx="54">
                  <c:v>98.0</c:v>
                </c:pt>
                <c:pt idx="55">
                  <c:v>88.0</c:v>
                </c:pt>
                <c:pt idx="56">
                  <c:v>49.0</c:v>
                </c:pt>
                <c:pt idx="57">
                  <c:v>73.0</c:v>
                </c:pt>
                <c:pt idx="58">
                  <c:v>89.0</c:v>
                </c:pt>
                <c:pt idx="59">
                  <c:v>6.0</c:v>
                </c:pt>
                <c:pt idx="60">
                  <c:v>27.0</c:v>
                </c:pt>
                <c:pt idx="61">
                  <c:v>48.0</c:v>
                </c:pt>
                <c:pt idx="62">
                  <c:v>7.0</c:v>
                </c:pt>
                <c:pt idx="63">
                  <c:v>135.0</c:v>
                </c:pt>
                <c:pt idx="64">
                  <c:v>278.0</c:v>
                </c:pt>
                <c:pt idx="65">
                  <c:v>45.0</c:v>
                </c:pt>
                <c:pt idx="66">
                  <c:v>69.0</c:v>
                </c:pt>
                <c:pt idx="67">
                  <c:v>133.0</c:v>
                </c:pt>
                <c:pt idx="68">
                  <c:v>22.0</c:v>
                </c:pt>
                <c:pt idx="69">
                  <c:v>64.0</c:v>
                </c:pt>
                <c:pt idx="70">
                  <c:v>4.0</c:v>
                </c:pt>
                <c:pt idx="71">
                  <c:v>110.0</c:v>
                </c:pt>
                <c:pt idx="72">
                  <c:v>33.0</c:v>
                </c:pt>
                <c:pt idx="73">
                  <c:v>39.0</c:v>
                </c:pt>
                <c:pt idx="74">
                  <c:v>82.0</c:v>
                </c:pt>
                <c:pt idx="75">
                  <c:v>52.0</c:v>
                </c:pt>
                <c:pt idx="76">
                  <c:v>108.0</c:v>
                </c:pt>
                <c:pt idx="77">
                  <c:v>22.0</c:v>
                </c:pt>
                <c:pt idx="78">
                  <c:v>88.0</c:v>
                </c:pt>
                <c:pt idx="79">
                  <c:v>15.0</c:v>
                </c:pt>
                <c:pt idx="80">
                  <c:v>87.0</c:v>
                </c:pt>
                <c:pt idx="81">
                  <c:v>7.0</c:v>
                </c:pt>
                <c:pt idx="82">
                  <c:v>81.0</c:v>
                </c:pt>
                <c:pt idx="83">
                  <c:v>34.0</c:v>
                </c:pt>
                <c:pt idx="84">
                  <c:v>3.0</c:v>
                </c:pt>
                <c:pt idx="85">
                  <c:v>37.0</c:v>
                </c:pt>
                <c:pt idx="86">
                  <c:v>16.0</c:v>
                </c:pt>
                <c:pt idx="87">
                  <c:v>69.0</c:v>
                </c:pt>
                <c:pt idx="88">
                  <c:v>25.0</c:v>
                </c:pt>
                <c:pt idx="89">
                  <c:v>112.0</c:v>
                </c:pt>
                <c:pt idx="90">
                  <c:v>62.0</c:v>
                </c:pt>
                <c:pt idx="91">
                  <c:v>12.0</c:v>
                </c:pt>
                <c:pt idx="92">
                  <c:v>137.0</c:v>
                </c:pt>
                <c:pt idx="93">
                  <c:v>16.0</c:v>
                </c:pt>
                <c:pt idx="94">
                  <c:v>49.0</c:v>
                </c:pt>
                <c:pt idx="95">
                  <c:v>27.0</c:v>
                </c:pt>
                <c:pt idx="96">
                  <c:v>44.0</c:v>
                </c:pt>
                <c:pt idx="97">
                  <c:v>48.0</c:v>
                </c:pt>
                <c:pt idx="98">
                  <c:v>122.0</c:v>
                </c:pt>
                <c:pt idx="99">
                  <c:v>41.0</c:v>
                </c:pt>
                <c:pt idx="100">
                  <c:v>12.0</c:v>
                </c:pt>
                <c:pt idx="101">
                  <c:v>4.0</c:v>
                </c:pt>
                <c:pt idx="102">
                  <c:v>84.0</c:v>
                </c:pt>
                <c:pt idx="103">
                  <c:v>43.0</c:v>
                </c:pt>
                <c:pt idx="104">
                  <c:v>106.0</c:v>
                </c:pt>
                <c:pt idx="105">
                  <c:v>140.0</c:v>
                </c:pt>
                <c:pt idx="106">
                  <c:v>29.0</c:v>
                </c:pt>
                <c:pt idx="107">
                  <c:v>84.0</c:v>
                </c:pt>
                <c:pt idx="108">
                  <c:v>60.0</c:v>
                </c:pt>
                <c:pt idx="109">
                  <c:v>55.0</c:v>
                </c:pt>
                <c:pt idx="110">
                  <c:v>12.0</c:v>
                </c:pt>
                <c:pt idx="111">
                  <c:v>27.0</c:v>
                </c:pt>
                <c:pt idx="112">
                  <c:v>44.0</c:v>
                </c:pt>
                <c:pt idx="113">
                  <c:v>18.0</c:v>
                </c:pt>
                <c:pt idx="114">
                  <c:v>15.0</c:v>
                </c:pt>
                <c:pt idx="115">
                  <c:v>22.0</c:v>
                </c:pt>
                <c:pt idx="116">
                  <c:v>154.0</c:v>
                </c:pt>
                <c:pt idx="117">
                  <c:v>11.0</c:v>
                </c:pt>
                <c:pt idx="118">
                  <c:v>50.0</c:v>
                </c:pt>
                <c:pt idx="119">
                  <c:v>40.0</c:v>
                </c:pt>
                <c:pt idx="120">
                  <c:v>118.0</c:v>
                </c:pt>
                <c:pt idx="121">
                  <c:v>123.0</c:v>
                </c:pt>
                <c:pt idx="122">
                  <c:v>28.0</c:v>
                </c:pt>
                <c:pt idx="123">
                  <c:v>24.0</c:v>
                </c:pt>
                <c:pt idx="124">
                  <c:v>11.0</c:v>
                </c:pt>
                <c:pt idx="125">
                  <c:v>13.0</c:v>
                </c:pt>
                <c:pt idx="126">
                  <c:v>38.0</c:v>
                </c:pt>
                <c:pt idx="127">
                  <c:v>36.0</c:v>
                </c:pt>
                <c:pt idx="128">
                  <c:v>41.0</c:v>
                </c:pt>
                <c:pt idx="129">
                  <c:v>77.0</c:v>
                </c:pt>
                <c:pt idx="130">
                  <c:v>45.0</c:v>
                </c:pt>
                <c:pt idx="131">
                  <c:v>293.0</c:v>
                </c:pt>
                <c:pt idx="132">
                  <c:v>52.0</c:v>
                </c:pt>
                <c:pt idx="133">
                  <c:v>25.0</c:v>
                </c:pt>
                <c:pt idx="134">
                  <c:v>40.0</c:v>
                </c:pt>
                <c:pt idx="135">
                  <c:v>18.0</c:v>
                </c:pt>
                <c:pt idx="136">
                  <c:v>180.0</c:v>
                </c:pt>
                <c:pt idx="137">
                  <c:v>36.0</c:v>
                </c:pt>
                <c:pt idx="138">
                  <c:v>56.0</c:v>
                </c:pt>
                <c:pt idx="139">
                  <c:v>23.0</c:v>
                </c:pt>
                <c:pt idx="140">
                  <c:v>89.0</c:v>
                </c:pt>
                <c:pt idx="141">
                  <c:v>147.0</c:v>
                </c:pt>
                <c:pt idx="142">
                  <c:v>44.0</c:v>
                </c:pt>
                <c:pt idx="143">
                  <c:v>63.0</c:v>
                </c:pt>
                <c:pt idx="144">
                  <c:v>24.0</c:v>
                </c:pt>
                <c:pt idx="145">
                  <c:v>150.0</c:v>
                </c:pt>
                <c:pt idx="146">
                  <c:v>37.0</c:v>
                </c:pt>
                <c:pt idx="147">
                  <c:v>85.0</c:v>
                </c:pt>
                <c:pt idx="148">
                  <c:v>60.0</c:v>
                </c:pt>
                <c:pt idx="149">
                  <c:v>41.0</c:v>
                </c:pt>
                <c:pt idx="150">
                  <c:v>3.0</c:v>
                </c:pt>
                <c:pt idx="151">
                  <c:v>29.0</c:v>
                </c:pt>
                <c:pt idx="152">
                  <c:v>30.0</c:v>
                </c:pt>
                <c:pt idx="153">
                  <c:v>45.0</c:v>
                </c:pt>
                <c:pt idx="154">
                  <c:v>23.0</c:v>
                </c:pt>
                <c:pt idx="155">
                  <c:v>19.0</c:v>
                </c:pt>
                <c:pt idx="156">
                  <c:v>18.0</c:v>
                </c:pt>
                <c:pt idx="157">
                  <c:v>24.0</c:v>
                </c:pt>
                <c:pt idx="158">
                  <c:v>358.0</c:v>
                </c:pt>
                <c:pt idx="159">
                  <c:v>43.0</c:v>
                </c:pt>
                <c:pt idx="160">
                  <c:v>13.0</c:v>
                </c:pt>
                <c:pt idx="161">
                  <c:v>31.0</c:v>
                </c:pt>
                <c:pt idx="162">
                  <c:v>15.0</c:v>
                </c:pt>
                <c:pt idx="163">
                  <c:v>37.0</c:v>
                </c:pt>
                <c:pt idx="164">
                  <c:v>443.0</c:v>
                </c:pt>
                <c:pt idx="165">
                  <c:v>34.0</c:v>
                </c:pt>
                <c:pt idx="166">
                  <c:v>84.0</c:v>
                </c:pt>
                <c:pt idx="167">
                  <c:v>22.0</c:v>
                </c:pt>
                <c:pt idx="168">
                  <c:v>231.0</c:v>
                </c:pt>
                <c:pt idx="169">
                  <c:v>48.0</c:v>
                </c:pt>
                <c:pt idx="170">
                  <c:v>17.0</c:v>
                </c:pt>
                <c:pt idx="171">
                  <c:v>103.0</c:v>
                </c:pt>
                <c:pt idx="172">
                  <c:v>176.0</c:v>
                </c:pt>
                <c:pt idx="173">
                  <c:v>16.0</c:v>
                </c:pt>
                <c:pt idx="174">
                  <c:v>123.0</c:v>
                </c:pt>
                <c:pt idx="175">
                  <c:v>96.0</c:v>
                </c:pt>
                <c:pt idx="176">
                  <c:v>94.0</c:v>
                </c:pt>
                <c:pt idx="177">
                  <c:v>25.0</c:v>
                </c:pt>
                <c:pt idx="178">
                  <c:v>42.0</c:v>
                </c:pt>
                <c:pt idx="179">
                  <c:v>32.0</c:v>
                </c:pt>
                <c:pt idx="180">
                  <c:v>14.0</c:v>
                </c:pt>
                <c:pt idx="181">
                  <c:v>44.0</c:v>
                </c:pt>
                <c:pt idx="182">
                  <c:v>10.0</c:v>
                </c:pt>
                <c:pt idx="183">
                  <c:v>179.0</c:v>
                </c:pt>
              </c:numCache>
            </c:numRef>
          </c:yVal>
        </c:ser>
        <c:axId val="565294440"/>
        <c:axId val="565270472"/>
      </c:scatterChart>
      <c:valAx>
        <c:axId val="56529444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Eta</a:t>
                </a:r>
              </a:p>
            </c:rich>
          </c:tx>
        </c:title>
        <c:numFmt formatCode="General" sourceLinked="1"/>
        <c:tickLblPos val="nextTo"/>
        <c:crossAx val="565270472"/>
        <c:crosses val="autoZero"/>
        <c:crossBetween val="midCat"/>
      </c:valAx>
      <c:valAx>
        <c:axId val="565270472"/>
        <c:scaling>
          <c:orientation val="minMax"/>
          <c:min val="0.0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DVKT per capita</a:t>
                </a:r>
              </a:p>
            </c:rich>
          </c:tx>
        </c:title>
        <c:numFmt formatCode="General" sourceLinked="1"/>
        <c:tickLblPos val="nextTo"/>
        <c:crossAx val="565294440"/>
        <c:crosses val="autoZero"/>
        <c:crossBetween val="midCat"/>
      </c:valAx>
    </c:plotArea>
    <c:plotVisOnly val="1"/>
  </c:char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US"/>
  <c:style val="12"/>
  <c:chart>
    <c:title>
      <c:tx>
        <c:rich>
          <a:bodyPr/>
          <a:lstStyle/>
          <a:p>
            <a:pPr>
              <a:defRPr/>
            </a:pPr>
            <a:r>
              <a:rPr lang="en-US"/>
              <a:t>DVKT per capita vs. Branchness measure</a:t>
            </a:r>
          </a:p>
        </c:rich>
      </c:tx>
    </c:title>
    <c:plotArea>
      <c:layout/>
      <c:scatterChart>
        <c:scatterStyle val="lineMarker"/>
        <c:ser>
          <c:idx val="0"/>
          <c:order val="0"/>
          <c:tx>
            <c:strRef>
              <c:f>StataData!$BI$1</c:f>
              <c:strCache>
                <c:ptCount val="1"/>
                <c:pt idx="0">
                  <c:v>avg_tt</c:v>
                </c:pt>
              </c:strCache>
            </c:strRef>
          </c:tx>
          <c:spPr>
            <a:ln w="47625">
              <a:noFill/>
            </a:ln>
          </c:spPr>
          <c:marker>
            <c:symbol val="circle"/>
            <c:size val="6"/>
          </c:marker>
          <c:trendline>
            <c:trendlineType val="linear"/>
            <c:dispRSqr val="1"/>
            <c:dispEq val="1"/>
            <c:trendlineLbl>
              <c:layout>
                <c:manualLayout>
                  <c:x val="-0.0115858850976961"/>
                  <c:y val="-0.0509966528845614"/>
                </c:manualLayout>
              </c:layout>
              <c:numFmt formatCode="General" sourceLinked="0"/>
            </c:trendlineLbl>
          </c:trendline>
          <c:xVal>
            <c:numRef>
              <c:f>StataData!$V$2:$V$185</c:f>
              <c:numCache>
                <c:formatCode>General</c:formatCode>
                <c:ptCount val="184"/>
                <c:pt idx="0">
                  <c:v>0.3594256</c:v>
                </c:pt>
                <c:pt idx="1">
                  <c:v>0.1770647</c:v>
                </c:pt>
                <c:pt idx="2">
                  <c:v>0.1390972</c:v>
                </c:pt>
                <c:pt idx="3">
                  <c:v>0.2116656</c:v>
                </c:pt>
                <c:pt idx="4">
                  <c:v>0.1565084</c:v>
                </c:pt>
                <c:pt idx="5">
                  <c:v>0.2556535</c:v>
                </c:pt>
                <c:pt idx="6">
                  <c:v>0.600069</c:v>
                </c:pt>
                <c:pt idx="7">
                  <c:v>0.2566875</c:v>
                </c:pt>
                <c:pt idx="8">
                  <c:v>0.1950395</c:v>
                </c:pt>
                <c:pt idx="9">
                  <c:v>0.3579702</c:v>
                </c:pt>
                <c:pt idx="10">
                  <c:v>0.6261001</c:v>
                </c:pt>
                <c:pt idx="11">
                  <c:v>0.248531</c:v>
                </c:pt>
                <c:pt idx="12">
                  <c:v>0.1914283</c:v>
                </c:pt>
                <c:pt idx="13">
                  <c:v>0.1918219</c:v>
                </c:pt>
                <c:pt idx="14">
                  <c:v>0.1260429</c:v>
                </c:pt>
                <c:pt idx="15">
                  <c:v>0.0711027</c:v>
                </c:pt>
                <c:pt idx="16">
                  <c:v>0.1279031</c:v>
                </c:pt>
                <c:pt idx="17">
                  <c:v>0.2463206</c:v>
                </c:pt>
                <c:pt idx="18">
                  <c:v>0.2207203</c:v>
                </c:pt>
                <c:pt idx="19">
                  <c:v>0.3747434</c:v>
                </c:pt>
                <c:pt idx="20">
                  <c:v>0.6431491</c:v>
                </c:pt>
                <c:pt idx="21">
                  <c:v>0.2451651</c:v>
                </c:pt>
                <c:pt idx="22">
                  <c:v>0.2664583</c:v>
                </c:pt>
                <c:pt idx="23">
                  <c:v>0.3817437</c:v>
                </c:pt>
                <c:pt idx="24">
                  <c:v>0.1981488</c:v>
                </c:pt>
                <c:pt idx="25">
                  <c:v>0.3902869</c:v>
                </c:pt>
                <c:pt idx="26">
                  <c:v>0.3383421</c:v>
                </c:pt>
                <c:pt idx="27">
                  <c:v>0.1586759</c:v>
                </c:pt>
                <c:pt idx="28">
                  <c:v>0.6248727</c:v>
                </c:pt>
                <c:pt idx="29">
                  <c:v>0.3313808</c:v>
                </c:pt>
                <c:pt idx="30">
                  <c:v>0.0540627</c:v>
                </c:pt>
                <c:pt idx="31">
                  <c:v>0.1408715</c:v>
                </c:pt>
                <c:pt idx="32">
                  <c:v>0.3002366</c:v>
                </c:pt>
                <c:pt idx="33">
                  <c:v>0.2195766</c:v>
                </c:pt>
                <c:pt idx="34">
                  <c:v>0.3533636</c:v>
                </c:pt>
                <c:pt idx="35">
                  <c:v>0.1088607</c:v>
                </c:pt>
                <c:pt idx="36">
                  <c:v>0.3449766</c:v>
                </c:pt>
                <c:pt idx="37">
                  <c:v>0.3822333</c:v>
                </c:pt>
                <c:pt idx="38">
                  <c:v>0.4306508</c:v>
                </c:pt>
                <c:pt idx="39">
                  <c:v>0.4087738</c:v>
                </c:pt>
                <c:pt idx="40">
                  <c:v>0.2214207</c:v>
                </c:pt>
                <c:pt idx="41">
                  <c:v>0.1775787</c:v>
                </c:pt>
                <c:pt idx="42">
                  <c:v>0.2147491</c:v>
                </c:pt>
                <c:pt idx="43">
                  <c:v>0.3229515</c:v>
                </c:pt>
                <c:pt idx="44">
                  <c:v>0.2705879</c:v>
                </c:pt>
                <c:pt idx="45">
                  <c:v>0.1166418</c:v>
                </c:pt>
                <c:pt idx="46">
                  <c:v>0.6900897</c:v>
                </c:pt>
                <c:pt idx="47">
                  <c:v>0.2040727</c:v>
                </c:pt>
                <c:pt idx="48">
                  <c:v>0.2017851</c:v>
                </c:pt>
                <c:pt idx="49">
                  <c:v>0.2863615</c:v>
                </c:pt>
                <c:pt idx="50">
                  <c:v>0.0637661</c:v>
                </c:pt>
                <c:pt idx="51">
                  <c:v>0.1810657</c:v>
                </c:pt>
                <c:pt idx="52">
                  <c:v>0.3052076</c:v>
                </c:pt>
                <c:pt idx="53">
                  <c:v>0.1018853</c:v>
                </c:pt>
                <c:pt idx="54">
                  <c:v>0.1601789</c:v>
                </c:pt>
                <c:pt idx="55">
                  <c:v>0.104268</c:v>
                </c:pt>
                <c:pt idx="56">
                  <c:v>0.4039255</c:v>
                </c:pt>
                <c:pt idx="57">
                  <c:v>0.4892718</c:v>
                </c:pt>
                <c:pt idx="58">
                  <c:v>0.1596923</c:v>
                </c:pt>
                <c:pt idx="59">
                  <c:v>0.4393523</c:v>
                </c:pt>
                <c:pt idx="60">
                  <c:v>0.9152364</c:v>
                </c:pt>
                <c:pt idx="61">
                  <c:v>0.2983268</c:v>
                </c:pt>
                <c:pt idx="62">
                  <c:v>0.4235262</c:v>
                </c:pt>
                <c:pt idx="63">
                  <c:v>0.278416</c:v>
                </c:pt>
                <c:pt idx="64">
                  <c:v>0.3952238</c:v>
                </c:pt>
                <c:pt idx="65">
                  <c:v>0.1747989</c:v>
                </c:pt>
                <c:pt idx="66">
                  <c:v>0.7640301</c:v>
                </c:pt>
                <c:pt idx="67">
                  <c:v>0.4557906</c:v>
                </c:pt>
                <c:pt idx="68">
                  <c:v>0.1931634</c:v>
                </c:pt>
                <c:pt idx="69">
                  <c:v>0.1911284</c:v>
                </c:pt>
                <c:pt idx="70">
                  <c:v>0.295657</c:v>
                </c:pt>
                <c:pt idx="71">
                  <c:v>0.3028034</c:v>
                </c:pt>
                <c:pt idx="72">
                  <c:v>0.1850781</c:v>
                </c:pt>
                <c:pt idx="73">
                  <c:v>0.1876206</c:v>
                </c:pt>
                <c:pt idx="74">
                  <c:v>0.3114394</c:v>
                </c:pt>
                <c:pt idx="75">
                  <c:v>0.2248947</c:v>
                </c:pt>
                <c:pt idx="76">
                  <c:v>0.4524038</c:v>
                </c:pt>
                <c:pt idx="77">
                  <c:v>0.3065779</c:v>
                </c:pt>
                <c:pt idx="78">
                  <c:v>0.2078153</c:v>
                </c:pt>
                <c:pt idx="79">
                  <c:v>0.1468683</c:v>
                </c:pt>
                <c:pt idx="80">
                  <c:v>0.3494502</c:v>
                </c:pt>
                <c:pt idx="81">
                  <c:v>0.4960828</c:v>
                </c:pt>
                <c:pt idx="82">
                  <c:v>0.4750276</c:v>
                </c:pt>
                <c:pt idx="83">
                  <c:v>0.2027241</c:v>
                </c:pt>
                <c:pt idx="84">
                  <c:v>0.3156416</c:v>
                </c:pt>
                <c:pt idx="85">
                  <c:v>0.1076273</c:v>
                </c:pt>
                <c:pt idx="86">
                  <c:v>0.0732079</c:v>
                </c:pt>
                <c:pt idx="87">
                  <c:v>0.3064667</c:v>
                </c:pt>
                <c:pt idx="88">
                  <c:v>0.3936195</c:v>
                </c:pt>
                <c:pt idx="89">
                  <c:v>0.1964807</c:v>
                </c:pt>
                <c:pt idx="90">
                  <c:v>0.3330734</c:v>
                </c:pt>
                <c:pt idx="91">
                  <c:v>0.2747986</c:v>
                </c:pt>
                <c:pt idx="92">
                  <c:v>0.6034388</c:v>
                </c:pt>
                <c:pt idx="93">
                  <c:v>0.3001073</c:v>
                </c:pt>
                <c:pt idx="94">
                  <c:v>0.2082605</c:v>
                </c:pt>
                <c:pt idx="95">
                  <c:v>0.2615056</c:v>
                </c:pt>
                <c:pt idx="96">
                  <c:v>0.1267097</c:v>
                </c:pt>
                <c:pt idx="97">
                  <c:v>0.6728766</c:v>
                </c:pt>
                <c:pt idx="98">
                  <c:v>0.1365193</c:v>
                </c:pt>
                <c:pt idx="99">
                  <c:v>0.4140829</c:v>
                </c:pt>
                <c:pt idx="100">
                  <c:v>0.5080772</c:v>
                </c:pt>
                <c:pt idx="101">
                  <c:v>0.7690595</c:v>
                </c:pt>
                <c:pt idx="102">
                  <c:v>0.3825117</c:v>
                </c:pt>
                <c:pt idx="103">
                  <c:v>0.5130872</c:v>
                </c:pt>
                <c:pt idx="104">
                  <c:v>0.2020599</c:v>
                </c:pt>
                <c:pt idx="105">
                  <c:v>0.9052238</c:v>
                </c:pt>
                <c:pt idx="106">
                  <c:v>0.0298389</c:v>
                </c:pt>
                <c:pt idx="107">
                  <c:v>0.3801839</c:v>
                </c:pt>
                <c:pt idx="108">
                  <c:v>0.2476637</c:v>
                </c:pt>
                <c:pt idx="109">
                  <c:v>0.5374276</c:v>
                </c:pt>
                <c:pt idx="110">
                  <c:v>0.2529252</c:v>
                </c:pt>
                <c:pt idx="111">
                  <c:v>0.0712143</c:v>
                </c:pt>
                <c:pt idx="112">
                  <c:v>0.1426494</c:v>
                </c:pt>
                <c:pt idx="113">
                  <c:v>0.689553</c:v>
                </c:pt>
                <c:pt idx="114">
                  <c:v>0.1263804</c:v>
                </c:pt>
                <c:pt idx="115">
                  <c:v>0.5723824</c:v>
                </c:pt>
                <c:pt idx="116">
                  <c:v>0.3783973</c:v>
                </c:pt>
                <c:pt idx="117">
                  <c:v>0.1863534</c:v>
                </c:pt>
                <c:pt idx="118">
                  <c:v>0.3139039</c:v>
                </c:pt>
                <c:pt idx="119">
                  <c:v>0.51003</c:v>
                </c:pt>
                <c:pt idx="120">
                  <c:v>0.2823738</c:v>
                </c:pt>
                <c:pt idx="121">
                  <c:v>0.2934821</c:v>
                </c:pt>
                <c:pt idx="122">
                  <c:v>0.3206349</c:v>
                </c:pt>
                <c:pt idx="123">
                  <c:v>0.0694272</c:v>
                </c:pt>
                <c:pt idx="124">
                  <c:v>0.5681862</c:v>
                </c:pt>
                <c:pt idx="125">
                  <c:v>0.2459302</c:v>
                </c:pt>
                <c:pt idx="126">
                  <c:v>0.280422</c:v>
                </c:pt>
                <c:pt idx="127">
                  <c:v>0.289979</c:v>
                </c:pt>
                <c:pt idx="128">
                  <c:v>0.146115</c:v>
                </c:pt>
                <c:pt idx="129">
                  <c:v>0.4040596</c:v>
                </c:pt>
                <c:pt idx="130">
                  <c:v>0.0997496</c:v>
                </c:pt>
                <c:pt idx="131">
                  <c:v>0.8068448</c:v>
                </c:pt>
                <c:pt idx="132">
                  <c:v>0.2250876</c:v>
                </c:pt>
                <c:pt idx="133">
                  <c:v>0.2931281</c:v>
                </c:pt>
                <c:pt idx="134">
                  <c:v>0.2207276</c:v>
                </c:pt>
                <c:pt idx="135">
                  <c:v>0.5875161</c:v>
                </c:pt>
                <c:pt idx="136">
                  <c:v>0.3603996</c:v>
                </c:pt>
                <c:pt idx="137">
                  <c:v>0.310729</c:v>
                </c:pt>
                <c:pt idx="138">
                  <c:v>0.0415152</c:v>
                </c:pt>
                <c:pt idx="139">
                  <c:v>0.1132379</c:v>
                </c:pt>
                <c:pt idx="140">
                  <c:v>0.6677941</c:v>
                </c:pt>
                <c:pt idx="141">
                  <c:v>0.3791488</c:v>
                </c:pt>
                <c:pt idx="142">
                  <c:v>0.2204817</c:v>
                </c:pt>
                <c:pt idx="143">
                  <c:v>0.097913</c:v>
                </c:pt>
                <c:pt idx="144">
                  <c:v>0.4509445</c:v>
                </c:pt>
                <c:pt idx="145">
                  <c:v>0.3927706</c:v>
                </c:pt>
                <c:pt idx="146">
                  <c:v>0.263335</c:v>
                </c:pt>
                <c:pt idx="147">
                  <c:v>0.4256351</c:v>
                </c:pt>
                <c:pt idx="148">
                  <c:v>0.2369419</c:v>
                </c:pt>
                <c:pt idx="149">
                  <c:v>0.1377014</c:v>
                </c:pt>
                <c:pt idx="150">
                  <c:v>0.3609498</c:v>
                </c:pt>
                <c:pt idx="151">
                  <c:v>0.1377168</c:v>
                </c:pt>
                <c:pt idx="152">
                  <c:v>0.0943099</c:v>
                </c:pt>
                <c:pt idx="153">
                  <c:v>0.3267466</c:v>
                </c:pt>
                <c:pt idx="154">
                  <c:v>0.8034197</c:v>
                </c:pt>
                <c:pt idx="155">
                  <c:v>0.1158648</c:v>
                </c:pt>
                <c:pt idx="156">
                  <c:v>0.3900365</c:v>
                </c:pt>
                <c:pt idx="157">
                  <c:v>0.4125065</c:v>
                </c:pt>
                <c:pt idx="158">
                  <c:v>0.3368611</c:v>
                </c:pt>
                <c:pt idx="159">
                  <c:v>0.1281143</c:v>
                </c:pt>
                <c:pt idx="160">
                  <c:v>0.3395788</c:v>
                </c:pt>
                <c:pt idx="161">
                  <c:v>0.0566898</c:v>
                </c:pt>
                <c:pt idx="162">
                  <c:v>0.1147117</c:v>
                </c:pt>
                <c:pt idx="163">
                  <c:v>0.5873288</c:v>
                </c:pt>
                <c:pt idx="164">
                  <c:v>0.344531</c:v>
                </c:pt>
                <c:pt idx="165">
                  <c:v>0.4326463</c:v>
                </c:pt>
                <c:pt idx="166">
                  <c:v>0.1985586</c:v>
                </c:pt>
                <c:pt idx="167">
                  <c:v>0.6072742</c:v>
                </c:pt>
                <c:pt idx="168">
                  <c:v>0.2161274</c:v>
                </c:pt>
                <c:pt idx="169">
                  <c:v>0.4779941</c:v>
                </c:pt>
                <c:pt idx="170">
                  <c:v>0.3728248</c:v>
                </c:pt>
                <c:pt idx="171">
                  <c:v>0.4829014</c:v>
                </c:pt>
                <c:pt idx="172">
                  <c:v>0.2419215</c:v>
                </c:pt>
                <c:pt idx="173">
                  <c:v>0.4149659</c:v>
                </c:pt>
                <c:pt idx="174">
                  <c:v>0.3480899</c:v>
                </c:pt>
                <c:pt idx="175">
                  <c:v>0.2726658</c:v>
                </c:pt>
                <c:pt idx="176">
                  <c:v>0.3269717</c:v>
                </c:pt>
                <c:pt idx="177">
                  <c:v>0.0712262</c:v>
                </c:pt>
                <c:pt idx="178">
                  <c:v>0.1380611</c:v>
                </c:pt>
                <c:pt idx="179">
                  <c:v>0.296969</c:v>
                </c:pt>
                <c:pt idx="180">
                  <c:v>0.2111602</c:v>
                </c:pt>
                <c:pt idx="181">
                  <c:v>0.2001078</c:v>
                </c:pt>
                <c:pt idx="182">
                  <c:v>0.6246486</c:v>
                </c:pt>
                <c:pt idx="183">
                  <c:v>0.2330796</c:v>
                </c:pt>
              </c:numCache>
            </c:numRef>
          </c:xVal>
          <c:yVal>
            <c:numRef>
              <c:f>StataData!$BF$2:$BF$185</c:f>
              <c:numCache>
                <c:formatCode>General</c:formatCode>
                <c:ptCount val="184"/>
                <c:pt idx="0">
                  <c:v>111.0</c:v>
                </c:pt>
                <c:pt idx="1">
                  <c:v>25.0</c:v>
                </c:pt>
                <c:pt idx="2">
                  <c:v>36.0</c:v>
                </c:pt>
                <c:pt idx="3">
                  <c:v>28.0</c:v>
                </c:pt>
                <c:pt idx="4">
                  <c:v>152.0</c:v>
                </c:pt>
                <c:pt idx="5">
                  <c:v>19.0</c:v>
                </c:pt>
                <c:pt idx="6">
                  <c:v>41.0</c:v>
                </c:pt>
                <c:pt idx="7">
                  <c:v>27.0</c:v>
                </c:pt>
                <c:pt idx="8">
                  <c:v>40.0</c:v>
                </c:pt>
                <c:pt idx="9">
                  <c:v>140.0</c:v>
                </c:pt>
                <c:pt idx="10">
                  <c:v>14.0</c:v>
                </c:pt>
                <c:pt idx="11">
                  <c:v>6.0</c:v>
                </c:pt>
                <c:pt idx="12">
                  <c:v>45.0</c:v>
                </c:pt>
                <c:pt idx="13">
                  <c:v>356.0</c:v>
                </c:pt>
                <c:pt idx="14">
                  <c:v>60.0</c:v>
                </c:pt>
                <c:pt idx="15">
                  <c:v>71.0</c:v>
                </c:pt>
                <c:pt idx="16">
                  <c:v>38.0</c:v>
                </c:pt>
                <c:pt idx="17">
                  <c:v>40.0</c:v>
                </c:pt>
                <c:pt idx="18">
                  <c:v>41.0</c:v>
                </c:pt>
                <c:pt idx="19">
                  <c:v>45.0</c:v>
                </c:pt>
                <c:pt idx="20">
                  <c:v>38.0</c:v>
                </c:pt>
                <c:pt idx="21">
                  <c:v>40.0</c:v>
                </c:pt>
                <c:pt idx="22">
                  <c:v>67.0</c:v>
                </c:pt>
                <c:pt idx="23">
                  <c:v>12.0</c:v>
                </c:pt>
                <c:pt idx="24">
                  <c:v>18.0</c:v>
                </c:pt>
                <c:pt idx="25">
                  <c:v>40.0</c:v>
                </c:pt>
                <c:pt idx="26">
                  <c:v>31.0</c:v>
                </c:pt>
                <c:pt idx="27">
                  <c:v>14.0</c:v>
                </c:pt>
                <c:pt idx="28">
                  <c:v>402.0</c:v>
                </c:pt>
                <c:pt idx="29">
                  <c:v>18.0</c:v>
                </c:pt>
                <c:pt idx="30">
                  <c:v>14.0</c:v>
                </c:pt>
                <c:pt idx="31">
                  <c:v>37.0</c:v>
                </c:pt>
                <c:pt idx="32">
                  <c:v>50.0</c:v>
                </c:pt>
                <c:pt idx="33">
                  <c:v>27.0</c:v>
                </c:pt>
                <c:pt idx="34">
                  <c:v>41.0</c:v>
                </c:pt>
                <c:pt idx="35">
                  <c:v>17.0</c:v>
                </c:pt>
                <c:pt idx="36">
                  <c:v>89.0</c:v>
                </c:pt>
                <c:pt idx="37">
                  <c:v>66.0</c:v>
                </c:pt>
                <c:pt idx="38">
                  <c:v>6.0</c:v>
                </c:pt>
                <c:pt idx="39">
                  <c:v>34.0</c:v>
                </c:pt>
                <c:pt idx="40">
                  <c:v>128.0</c:v>
                </c:pt>
                <c:pt idx="41">
                  <c:v>119.0</c:v>
                </c:pt>
                <c:pt idx="42">
                  <c:v>49.0</c:v>
                </c:pt>
                <c:pt idx="43">
                  <c:v>47.0</c:v>
                </c:pt>
                <c:pt idx="44">
                  <c:v>44.0</c:v>
                </c:pt>
                <c:pt idx="45">
                  <c:v>51.0</c:v>
                </c:pt>
                <c:pt idx="46">
                  <c:v>41.0</c:v>
                </c:pt>
                <c:pt idx="47">
                  <c:v>87.0</c:v>
                </c:pt>
                <c:pt idx="48">
                  <c:v>43.0</c:v>
                </c:pt>
                <c:pt idx="49">
                  <c:v>30.0</c:v>
                </c:pt>
                <c:pt idx="50">
                  <c:v>27.0</c:v>
                </c:pt>
                <c:pt idx="51">
                  <c:v>17.0</c:v>
                </c:pt>
                <c:pt idx="52">
                  <c:v>55.0</c:v>
                </c:pt>
                <c:pt idx="53">
                  <c:v>57.0</c:v>
                </c:pt>
                <c:pt idx="54">
                  <c:v>98.0</c:v>
                </c:pt>
                <c:pt idx="55">
                  <c:v>88.0</c:v>
                </c:pt>
                <c:pt idx="56">
                  <c:v>49.0</c:v>
                </c:pt>
                <c:pt idx="57">
                  <c:v>73.0</c:v>
                </c:pt>
                <c:pt idx="58">
                  <c:v>89.0</c:v>
                </c:pt>
                <c:pt idx="59">
                  <c:v>6.0</c:v>
                </c:pt>
                <c:pt idx="60">
                  <c:v>27.0</c:v>
                </c:pt>
                <c:pt idx="61">
                  <c:v>48.0</c:v>
                </c:pt>
                <c:pt idx="62">
                  <c:v>7.0</c:v>
                </c:pt>
                <c:pt idx="63">
                  <c:v>135.0</c:v>
                </c:pt>
                <c:pt idx="64">
                  <c:v>278.0</c:v>
                </c:pt>
                <c:pt idx="65">
                  <c:v>45.0</c:v>
                </c:pt>
                <c:pt idx="66">
                  <c:v>69.0</c:v>
                </c:pt>
                <c:pt idx="67">
                  <c:v>133.0</c:v>
                </c:pt>
                <c:pt idx="68">
                  <c:v>22.0</c:v>
                </c:pt>
                <c:pt idx="69">
                  <c:v>64.0</c:v>
                </c:pt>
                <c:pt idx="70">
                  <c:v>4.0</c:v>
                </c:pt>
                <c:pt idx="71">
                  <c:v>110.0</c:v>
                </c:pt>
                <c:pt idx="72">
                  <c:v>33.0</c:v>
                </c:pt>
                <c:pt idx="73">
                  <c:v>39.0</c:v>
                </c:pt>
                <c:pt idx="74">
                  <c:v>82.0</c:v>
                </c:pt>
                <c:pt idx="75">
                  <c:v>52.0</c:v>
                </c:pt>
                <c:pt idx="76">
                  <c:v>108.0</c:v>
                </c:pt>
                <c:pt idx="77">
                  <c:v>22.0</c:v>
                </c:pt>
                <c:pt idx="78">
                  <c:v>88.0</c:v>
                </c:pt>
                <c:pt idx="79">
                  <c:v>15.0</c:v>
                </c:pt>
                <c:pt idx="80">
                  <c:v>87.0</c:v>
                </c:pt>
                <c:pt idx="81">
                  <c:v>7.0</c:v>
                </c:pt>
                <c:pt idx="82">
                  <c:v>81.0</c:v>
                </c:pt>
                <c:pt idx="83">
                  <c:v>34.0</c:v>
                </c:pt>
                <c:pt idx="84">
                  <c:v>3.0</c:v>
                </c:pt>
                <c:pt idx="85">
                  <c:v>37.0</c:v>
                </c:pt>
                <c:pt idx="86">
                  <c:v>16.0</c:v>
                </c:pt>
                <c:pt idx="87">
                  <c:v>69.0</c:v>
                </c:pt>
                <c:pt idx="88">
                  <c:v>25.0</c:v>
                </c:pt>
                <c:pt idx="89">
                  <c:v>112.0</c:v>
                </c:pt>
                <c:pt idx="90">
                  <c:v>62.0</c:v>
                </c:pt>
                <c:pt idx="91">
                  <c:v>12.0</c:v>
                </c:pt>
                <c:pt idx="92">
                  <c:v>137.0</c:v>
                </c:pt>
                <c:pt idx="93">
                  <c:v>16.0</c:v>
                </c:pt>
                <c:pt idx="94">
                  <c:v>49.0</c:v>
                </c:pt>
                <c:pt idx="95">
                  <c:v>27.0</c:v>
                </c:pt>
                <c:pt idx="96">
                  <c:v>44.0</c:v>
                </c:pt>
                <c:pt idx="97">
                  <c:v>48.0</c:v>
                </c:pt>
                <c:pt idx="98">
                  <c:v>122.0</c:v>
                </c:pt>
                <c:pt idx="99">
                  <c:v>41.0</c:v>
                </c:pt>
                <c:pt idx="100">
                  <c:v>12.0</c:v>
                </c:pt>
                <c:pt idx="101">
                  <c:v>4.0</c:v>
                </c:pt>
                <c:pt idx="102">
                  <c:v>84.0</c:v>
                </c:pt>
                <c:pt idx="103">
                  <c:v>43.0</c:v>
                </c:pt>
                <c:pt idx="104">
                  <c:v>106.0</c:v>
                </c:pt>
                <c:pt idx="105">
                  <c:v>140.0</c:v>
                </c:pt>
                <c:pt idx="106">
                  <c:v>29.0</c:v>
                </c:pt>
                <c:pt idx="107">
                  <c:v>84.0</c:v>
                </c:pt>
                <c:pt idx="108">
                  <c:v>60.0</c:v>
                </c:pt>
                <c:pt idx="109">
                  <c:v>55.0</c:v>
                </c:pt>
                <c:pt idx="110">
                  <c:v>12.0</c:v>
                </c:pt>
                <c:pt idx="111">
                  <c:v>27.0</c:v>
                </c:pt>
                <c:pt idx="112">
                  <c:v>44.0</c:v>
                </c:pt>
                <c:pt idx="113">
                  <c:v>18.0</c:v>
                </c:pt>
                <c:pt idx="114">
                  <c:v>15.0</c:v>
                </c:pt>
                <c:pt idx="115">
                  <c:v>22.0</c:v>
                </c:pt>
                <c:pt idx="116">
                  <c:v>154.0</c:v>
                </c:pt>
                <c:pt idx="117">
                  <c:v>11.0</c:v>
                </c:pt>
                <c:pt idx="118">
                  <c:v>50.0</c:v>
                </c:pt>
                <c:pt idx="119">
                  <c:v>40.0</c:v>
                </c:pt>
                <c:pt idx="120">
                  <c:v>118.0</c:v>
                </c:pt>
                <c:pt idx="121">
                  <c:v>123.0</c:v>
                </c:pt>
                <c:pt idx="122">
                  <c:v>28.0</c:v>
                </c:pt>
                <c:pt idx="123">
                  <c:v>24.0</c:v>
                </c:pt>
                <c:pt idx="124">
                  <c:v>11.0</c:v>
                </c:pt>
                <c:pt idx="125">
                  <c:v>13.0</c:v>
                </c:pt>
                <c:pt idx="126">
                  <c:v>38.0</c:v>
                </c:pt>
                <c:pt idx="127">
                  <c:v>36.0</c:v>
                </c:pt>
                <c:pt idx="128">
                  <c:v>41.0</c:v>
                </c:pt>
                <c:pt idx="129">
                  <c:v>77.0</c:v>
                </c:pt>
                <c:pt idx="130">
                  <c:v>45.0</c:v>
                </c:pt>
                <c:pt idx="131">
                  <c:v>293.0</c:v>
                </c:pt>
                <c:pt idx="132">
                  <c:v>52.0</c:v>
                </c:pt>
                <c:pt idx="133">
                  <c:v>25.0</c:v>
                </c:pt>
                <c:pt idx="134">
                  <c:v>40.0</c:v>
                </c:pt>
                <c:pt idx="135">
                  <c:v>18.0</c:v>
                </c:pt>
                <c:pt idx="136">
                  <c:v>180.0</c:v>
                </c:pt>
                <c:pt idx="137">
                  <c:v>36.0</c:v>
                </c:pt>
                <c:pt idx="138">
                  <c:v>56.0</c:v>
                </c:pt>
                <c:pt idx="139">
                  <c:v>23.0</c:v>
                </c:pt>
                <c:pt idx="140">
                  <c:v>89.0</c:v>
                </c:pt>
                <c:pt idx="141">
                  <c:v>147.0</c:v>
                </c:pt>
                <c:pt idx="142">
                  <c:v>44.0</c:v>
                </c:pt>
                <c:pt idx="143">
                  <c:v>63.0</c:v>
                </c:pt>
                <c:pt idx="144">
                  <c:v>24.0</c:v>
                </c:pt>
                <c:pt idx="145">
                  <c:v>150.0</c:v>
                </c:pt>
                <c:pt idx="146">
                  <c:v>37.0</c:v>
                </c:pt>
                <c:pt idx="147">
                  <c:v>85.0</c:v>
                </c:pt>
                <c:pt idx="148">
                  <c:v>60.0</c:v>
                </c:pt>
                <c:pt idx="149">
                  <c:v>41.0</c:v>
                </c:pt>
                <c:pt idx="150">
                  <c:v>3.0</c:v>
                </c:pt>
                <c:pt idx="151">
                  <c:v>29.0</c:v>
                </c:pt>
                <c:pt idx="152">
                  <c:v>30.0</c:v>
                </c:pt>
                <c:pt idx="153">
                  <c:v>45.0</c:v>
                </c:pt>
                <c:pt idx="154">
                  <c:v>23.0</c:v>
                </c:pt>
                <c:pt idx="155">
                  <c:v>19.0</c:v>
                </c:pt>
                <c:pt idx="156">
                  <c:v>18.0</c:v>
                </c:pt>
                <c:pt idx="157">
                  <c:v>24.0</c:v>
                </c:pt>
                <c:pt idx="158">
                  <c:v>358.0</c:v>
                </c:pt>
                <c:pt idx="159">
                  <c:v>43.0</c:v>
                </c:pt>
                <c:pt idx="160">
                  <c:v>13.0</c:v>
                </c:pt>
                <c:pt idx="161">
                  <c:v>31.0</c:v>
                </c:pt>
                <c:pt idx="162">
                  <c:v>15.0</c:v>
                </c:pt>
                <c:pt idx="163">
                  <c:v>37.0</c:v>
                </c:pt>
                <c:pt idx="164">
                  <c:v>443.0</c:v>
                </c:pt>
                <c:pt idx="165">
                  <c:v>34.0</c:v>
                </c:pt>
                <c:pt idx="166">
                  <c:v>84.0</c:v>
                </c:pt>
                <c:pt idx="167">
                  <c:v>22.0</c:v>
                </c:pt>
                <c:pt idx="168">
                  <c:v>231.0</c:v>
                </c:pt>
                <c:pt idx="169">
                  <c:v>48.0</c:v>
                </c:pt>
                <c:pt idx="170">
                  <c:v>17.0</c:v>
                </c:pt>
                <c:pt idx="171">
                  <c:v>103.0</c:v>
                </c:pt>
                <c:pt idx="172">
                  <c:v>176.0</c:v>
                </c:pt>
                <c:pt idx="173">
                  <c:v>16.0</c:v>
                </c:pt>
                <c:pt idx="174">
                  <c:v>123.0</c:v>
                </c:pt>
                <c:pt idx="175">
                  <c:v>96.0</c:v>
                </c:pt>
                <c:pt idx="176">
                  <c:v>94.0</c:v>
                </c:pt>
                <c:pt idx="177">
                  <c:v>25.0</c:v>
                </c:pt>
                <c:pt idx="178">
                  <c:v>42.0</c:v>
                </c:pt>
                <c:pt idx="179">
                  <c:v>32.0</c:v>
                </c:pt>
                <c:pt idx="180">
                  <c:v>14.0</c:v>
                </c:pt>
                <c:pt idx="181">
                  <c:v>44.0</c:v>
                </c:pt>
                <c:pt idx="182">
                  <c:v>10.0</c:v>
                </c:pt>
                <c:pt idx="183">
                  <c:v>179.0</c:v>
                </c:pt>
              </c:numCache>
            </c:numRef>
          </c:yVal>
        </c:ser>
        <c:axId val="565231672"/>
        <c:axId val="565222760"/>
      </c:scatterChart>
      <c:valAx>
        <c:axId val="56523167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Branchness</a:t>
                </a:r>
              </a:p>
            </c:rich>
          </c:tx>
        </c:title>
        <c:numFmt formatCode="General" sourceLinked="1"/>
        <c:tickLblPos val="nextTo"/>
        <c:crossAx val="565222760"/>
        <c:crosses val="autoZero"/>
        <c:crossBetween val="midCat"/>
      </c:valAx>
      <c:valAx>
        <c:axId val="565222760"/>
        <c:scaling>
          <c:orientation val="minMax"/>
          <c:min val="0.0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DVKT per capita</a:t>
                </a:r>
              </a:p>
            </c:rich>
          </c:tx>
        </c:title>
        <c:numFmt formatCode="General" sourceLinked="1"/>
        <c:tickLblPos val="nextTo"/>
        <c:crossAx val="565231672"/>
        <c:crosses val="autoZero"/>
        <c:crossBetween val="midCat"/>
      </c:valAx>
    </c:plotArea>
    <c:plotVisOnly val="1"/>
  </c:char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US"/>
  <c:style val="12"/>
  <c:chart>
    <c:title>
      <c:tx>
        <c:rich>
          <a:bodyPr/>
          <a:lstStyle/>
          <a:p>
            <a:pPr>
              <a:defRPr/>
            </a:pPr>
            <a:r>
              <a:rPr lang="en-US"/>
              <a:t>DVKT per capita vs. Completeness measure</a:t>
            </a:r>
          </a:p>
        </c:rich>
      </c:tx>
    </c:title>
    <c:plotArea>
      <c:layout/>
      <c:scatterChart>
        <c:scatterStyle val="lineMarker"/>
        <c:ser>
          <c:idx val="0"/>
          <c:order val="0"/>
          <c:tx>
            <c:strRef>
              <c:f>StataData!$BI$1</c:f>
              <c:strCache>
                <c:ptCount val="1"/>
                <c:pt idx="0">
                  <c:v>avg_tt</c:v>
                </c:pt>
              </c:strCache>
            </c:strRef>
          </c:tx>
          <c:spPr>
            <a:ln w="47625">
              <a:noFill/>
            </a:ln>
          </c:spPr>
          <c:marker>
            <c:symbol val="circle"/>
            <c:size val="6"/>
          </c:marker>
          <c:trendline>
            <c:trendlineType val="linear"/>
            <c:dispRSqr val="1"/>
            <c:dispEq val="1"/>
            <c:trendlineLbl>
              <c:layout>
                <c:manualLayout>
                  <c:x val="-0.0115858850976961"/>
                  <c:y val="-0.0509966528845614"/>
                </c:manualLayout>
              </c:layout>
              <c:numFmt formatCode="General" sourceLinked="0"/>
            </c:trendlineLbl>
          </c:trendline>
          <c:xVal>
            <c:numRef>
              <c:f>StataData!$Y$2:$Y$185</c:f>
              <c:numCache>
                <c:formatCode>General</c:formatCode>
                <c:ptCount val="184"/>
                <c:pt idx="0">
                  <c:v>4.332</c:v>
                </c:pt>
                <c:pt idx="1">
                  <c:v>1.128</c:v>
                </c:pt>
                <c:pt idx="2">
                  <c:v>2.459</c:v>
                </c:pt>
                <c:pt idx="3">
                  <c:v>0.749</c:v>
                </c:pt>
                <c:pt idx="4">
                  <c:v>2.875</c:v>
                </c:pt>
                <c:pt idx="5">
                  <c:v>9.962</c:v>
                </c:pt>
                <c:pt idx="6">
                  <c:v>8.263</c:v>
                </c:pt>
                <c:pt idx="7">
                  <c:v>5.895</c:v>
                </c:pt>
                <c:pt idx="8">
                  <c:v>11.538</c:v>
                </c:pt>
                <c:pt idx="9">
                  <c:v>4.947</c:v>
                </c:pt>
                <c:pt idx="10">
                  <c:v>38.71</c:v>
                </c:pt>
                <c:pt idx="11">
                  <c:v>25.306</c:v>
                </c:pt>
                <c:pt idx="12">
                  <c:v>0.842</c:v>
                </c:pt>
                <c:pt idx="13">
                  <c:v>17.69</c:v>
                </c:pt>
                <c:pt idx="14">
                  <c:v>0.513</c:v>
                </c:pt>
                <c:pt idx="15">
                  <c:v>1.775</c:v>
                </c:pt>
                <c:pt idx="16">
                  <c:v>0.773</c:v>
                </c:pt>
                <c:pt idx="17">
                  <c:v>4.963999999999999</c:v>
                </c:pt>
                <c:pt idx="18">
                  <c:v>0.643</c:v>
                </c:pt>
                <c:pt idx="19">
                  <c:v>4.084</c:v>
                </c:pt>
                <c:pt idx="20">
                  <c:v>11.141</c:v>
                </c:pt>
                <c:pt idx="21">
                  <c:v>4.406</c:v>
                </c:pt>
                <c:pt idx="22">
                  <c:v>10.262</c:v>
                </c:pt>
                <c:pt idx="23">
                  <c:v>8.408999999999998</c:v>
                </c:pt>
                <c:pt idx="24">
                  <c:v>1.617</c:v>
                </c:pt>
                <c:pt idx="25">
                  <c:v>0.889</c:v>
                </c:pt>
                <c:pt idx="26">
                  <c:v>1.546</c:v>
                </c:pt>
                <c:pt idx="27">
                  <c:v>10.555</c:v>
                </c:pt>
                <c:pt idx="28">
                  <c:v>96.154</c:v>
                </c:pt>
                <c:pt idx="29">
                  <c:v>14.107</c:v>
                </c:pt>
                <c:pt idx="30">
                  <c:v>3.475</c:v>
                </c:pt>
                <c:pt idx="31">
                  <c:v>0.721</c:v>
                </c:pt>
                <c:pt idx="32">
                  <c:v>3.678</c:v>
                </c:pt>
                <c:pt idx="33">
                  <c:v>1.476</c:v>
                </c:pt>
                <c:pt idx="34">
                  <c:v>4.901</c:v>
                </c:pt>
                <c:pt idx="35">
                  <c:v>2.008</c:v>
                </c:pt>
                <c:pt idx="36">
                  <c:v>4.067</c:v>
                </c:pt>
                <c:pt idx="37">
                  <c:v>4.989</c:v>
                </c:pt>
                <c:pt idx="38">
                  <c:v>4.806</c:v>
                </c:pt>
                <c:pt idx="39">
                  <c:v>14.84</c:v>
                </c:pt>
                <c:pt idx="40">
                  <c:v>11.264</c:v>
                </c:pt>
                <c:pt idx="41">
                  <c:v>14.498</c:v>
                </c:pt>
                <c:pt idx="42">
                  <c:v>0.536</c:v>
                </c:pt>
                <c:pt idx="43">
                  <c:v>2.113</c:v>
                </c:pt>
                <c:pt idx="44">
                  <c:v>0.592</c:v>
                </c:pt>
                <c:pt idx="45">
                  <c:v>0.887</c:v>
                </c:pt>
                <c:pt idx="46">
                  <c:v>26.713</c:v>
                </c:pt>
                <c:pt idx="47">
                  <c:v>10.45</c:v>
                </c:pt>
                <c:pt idx="48">
                  <c:v>8.163</c:v>
                </c:pt>
                <c:pt idx="49">
                  <c:v>10.311</c:v>
                </c:pt>
                <c:pt idx="50">
                  <c:v>7.745</c:v>
                </c:pt>
                <c:pt idx="51">
                  <c:v>2.781</c:v>
                </c:pt>
                <c:pt idx="52">
                  <c:v>1.781</c:v>
                </c:pt>
                <c:pt idx="53">
                  <c:v>1.554</c:v>
                </c:pt>
                <c:pt idx="54">
                  <c:v>47.101</c:v>
                </c:pt>
                <c:pt idx="55">
                  <c:v>1.456</c:v>
                </c:pt>
                <c:pt idx="56">
                  <c:v>4.477</c:v>
                </c:pt>
                <c:pt idx="57">
                  <c:v>5.699</c:v>
                </c:pt>
                <c:pt idx="58">
                  <c:v>15.406</c:v>
                </c:pt>
                <c:pt idx="59">
                  <c:v>18.703</c:v>
                </c:pt>
                <c:pt idx="60">
                  <c:v>55.556</c:v>
                </c:pt>
                <c:pt idx="61">
                  <c:v>1.524</c:v>
                </c:pt>
                <c:pt idx="62">
                  <c:v>43.678</c:v>
                </c:pt>
                <c:pt idx="63">
                  <c:v>31.008</c:v>
                </c:pt>
                <c:pt idx="64">
                  <c:v>7.284</c:v>
                </c:pt>
                <c:pt idx="65">
                  <c:v>11.109</c:v>
                </c:pt>
                <c:pt idx="66">
                  <c:v>43.33300000000001</c:v>
                </c:pt>
                <c:pt idx="67">
                  <c:v>5.435</c:v>
                </c:pt>
                <c:pt idx="68">
                  <c:v>1.983</c:v>
                </c:pt>
                <c:pt idx="69">
                  <c:v>10.648</c:v>
                </c:pt>
                <c:pt idx="70">
                  <c:v>37.302</c:v>
                </c:pt>
                <c:pt idx="71">
                  <c:v>4.6</c:v>
                </c:pt>
                <c:pt idx="72">
                  <c:v>3.414</c:v>
                </c:pt>
                <c:pt idx="73">
                  <c:v>4.197</c:v>
                </c:pt>
                <c:pt idx="74">
                  <c:v>4.233</c:v>
                </c:pt>
                <c:pt idx="75">
                  <c:v>1.043</c:v>
                </c:pt>
                <c:pt idx="76">
                  <c:v>12.768</c:v>
                </c:pt>
                <c:pt idx="77">
                  <c:v>6.038</c:v>
                </c:pt>
                <c:pt idx="78">
                  <c:v>3.623</c:v>
                </c:pt>
                <c:pt idx="79">
                  <c:v>12.673</c:v>
                </c:pt>
                <c:pt idx="80">
                  <c:v>8.328999999999998</c:v>
                </c:pt>
                <c:pt idx="81">
                  <c:v>36.559</c:v>
                </c:pt>
                <c:pt idx="82">
                  <c:v>4.901</c:v>
                </c:pt>
                <c:pt idx="83">
                  <c:v>0.726</c:v>
                </c:pt>
                <c:pt idx="84">
                  <c:v>35.762</c:v>
                </c:pt>
                <c:pt idx="85">
                  <c:v>26.554</c:v>
                </c:pt>
                <c:pt idx="86">
                  <c:v>19.622</c:v>
                </c:pt>
                <c:pt idx="87">
                  <c:v>1.864</c:v>
                </c:pt>
                <c:pt idx="88">
                  <c:v>4.195</c:v>
                </c:pt>
                <c:pt idx="89">
                  <c:v>5.037</c:v>
                </c:pt>
                <c:pt idx="90">
                  <c:v>12.781</c:v>
                </c:pt>
                <c:pt idx="91">
                  <c:v>40.72</c:v>
                </c:pt>
                <c:pt idx="92">
                  <c:v>7.749</c:v>
                </c:pt>
                <c:pt idx="93">
                  <c:v>3.08</c:v>
                </c:pt>
                <c:pt idx="94">
                  <c:v>0.681</c:v>
                </c:pt>
                <c:pt idx="95">
                  <c:v>16.26</c:v>
                </c:pt>
                <c:pt idx="96">
                  <c:v>1.109</c:v>
                </c:pt>
                <c:pt idx="97">
                  <c:v>13.454</c:v>
                </c:pt>
                <c:pt idx="98">
                  <c:v>11.942</c:v>
                </c:pt>
                <c:pt idx="99">
                  <c:v>5.754</c:v>
                </c:pt>
                <c:pt idx="100">
                  <c:v>19.871</c:v>
                </c:pt>
                <c:pt idx="101">
                  <c:v>111.111</c:v>
                </c:pt>
                <c:pt idx="102">
                  <c:v>3.654</c:v>
                </c:pt>
                <c:pt idx="103">
                  <c:v>18.484</c:v>
                </c:pt>
                <c:pt idx="104">
                  <c:v>1.868</c:v>
                </c:pt>
                <c:pt idx="105">
                  <c:v>66.667</c:v>
                </c:pt>
                <c:pt idx="106">
                  <c:v>0.231</c:v>
                </c:pt>
                <c:pt idx="107">
                  <c:v>26.768</c:v>
                </c:pt>
                <c:pt idx="108">
                  <c:v>0.563</c:v>
                </c:pt>
                <c:pt idx="109">
                  <c:v>3.536</c:v>
                </c:pt>
                <c:pt idx="110">
                  <c:v>2.544</c:v>
                </c:pt>
                <c:pt idx="111">
                  <c:v>4.689999999999999</c:v>
                </c:pt>
                <c:pt idx="112">
                  <c:v>2.094</c:v>
                </c:pt>
                <c:pt idx="113">
                  <c:v>27.778</c:v>
                </c:pt>
                <c:pt idx="114">
                  <c:v>2.41</c:v>
                </c:pt>
                <c:pt idx="115">
                  <c:v>27.685</c:v>
                </c:pt>
                <c:pt idx="116">
                  <c:v>5.136</c:v>
                </c:pt>
                <c:pt idx="117">
                  <c:v>8.388</c:v>
                </c:pt>
                <c:pt idx="118">
                  <c:v>4.706</c:v>
                </c:pt>
                <c:pt idx="119">
                  <c:v>79.167</c:v>
                </c:pt>
                <c:pt idx="120">
                  <c:v>5.704</c:v>
                </c:pt>
                <c:pt idx="121">
                  <c:v>13.866</c:v>
                </c:pt>
                <c:pt idx="122">
                  <c:v>3.574</c:v>
                </c:pt>
                <c:pt idx="123">
                  <c:v>4.159000000000001</c:v>
                </c:pt>
                <c:pt idx="124">
                  <c:v>19.594</c:v>
                </c:pt>
                <c:pt idx="125">
                  <c:v>8.142</c:v>
                </c:pt>
                <c:pt idx="126">
                  <c:v>2.352</c:v>
                </c:pt>
                <c:pt idx="127">
                  <c:v>5.718</c:v>
                </c:pt>
                <c:pt idx="128">
                  <c:v>1.413</c:v>
                </c:pt>
                <c:pt idx="129">
                  <c:v>1.901</c:v>
                </c:pt>
                <c:pt idx="130">
                  <c:v>13.143</c:v>
                </c:pt>
                <c:pt idx="131">
                  <c:v>18.149</c:v>
                </c:pt>
                <c:pt idx="132">
                  <c:v>0.484</c:v>
                </c:pt>
                <c:pt idx="133">
                  <c:v>1.599</c:v>
                </c:pt>
                <c:pt idx="134">
                  <c:v>1.188</c:v>
                </c:pt>
                <c:pt idx="135">
                  <c:v>30.488</c:v>
                </c:pt>
                <c:pt idx="136">
                  <c:v>16.282</c:v>
                </c:pt>
                <c:pt idx="137">
                  <c:v>10.364</c:v>
                </c:pt>
                <c:pt idx="138">
                  <c:v>1.78</c:v>
                </c:pt>
                <c:pt idx="139">
                  <c:v>3.306</c:v>
                </c:pt>
                <c:pt idx="140">
                  <c:v>57.143</c:v>
                </c:pt>
                <c:pt idx="141">
                  <c:v>4.016999999999999</c:v>
                </c:pt>
                <c:pt idx="142">
                  <c:v>2.087</c:v>
                </c:pt>
                <c:pt idx="143">
                  <c:v>1.361</c:v>
                </c:pt>
                <c:pt idx="144">
                  <c:v>7.437</c:v>
                </c:pt>
                <c:pt idx="145">
                  <c:v>5.848</c:v>
                </c:pt>
                <c:pt idx="146">
                  <c:v>1.347</c:v>
                </c:pt>
                <c:pt idx="147">
                  <c:v>35.98500000000001</c:v>
                </c:pt>
                <c:pt idx="148">
                  <c:v>1.349</c:v>
                </c:pt>
                <c:pt idx="149">
                  <c:v>1.566</c:v>
                </c:pt>
                <c:pt idx="150">
                  <c:v>2.849</c:v>
                </c:pt>
                <c:pt idx="151">
                  <c:v>2.22</c:v>
                </c:pt>
                <c:pt idx="152">
                  <c:v>6.512</c:v>
                </c:pt>
                <c:pt idx="153">
                  <c:v>4.738</c:v>
                </c:pt>
                <c:pt idx="154">
                  <c:v>13.291</c:v>
                </c:pt>
                <c:pt idx="155">
                  <c:v>7.795</c:v>
                </c:pt>
                <c:pt idx="156">
                  <c:v>14.105</c:v>
                </c:pt>
                <c:pt idx="157">
                  <c:v>4.113</c:v>
                </c:pt>
                <c:pt idx="158">
                  <c:v>18.852</c:v>
                </c:pt>
                <c:pt idx="159">
                  <c:v>1.182</c:v>
                </c:pt>
                <c:pt idx="160">
                  <c:v>27.29</c:v>
                </c:pt>
                <c:pt idx="161">
                  <c:v>0.264</c:v>
                </c:pt>
                <c:pt idx="162">
                  <c:v>7.281</c:v>
                </c:pt>
                <c:pt idx="163">
                  <c:v>5.569</c:v>
                </c:pt>
                <c:pt idx="164">
                  <c:v>25.253</c:v>
                </c:pt>
                <c:pt idx="165">
                  <c:v>10.647</c:v>
                </c:pt>
                <c:pt idx="166">
                  <c:v>3.089</c:v>
                </c:pt>
                <c:pt idx="167">
                  <c:v>27.132</c:v>
                </c:pt>
                <c:pt idx="168">
                  <c:v>12.91</c:v>
                </c:pt>
                <c:pt idx="169">
                  <c:v>3.519</c:v>
                </c:pt>
                <c:pt idx="170">
                  <c:v>3.25</c:v>
                </c:pt>
                <c:pt idx="171">
                  <c:v>4.165</c:v>
                </c:pt>
                <c:pt idx="172">
                  <c:v>25.49</c:v>
                </c:pt>
                <c:pt idx="173">
                  <c:v>5.969</c:v>
                </c:pt>
                <c:pt idx="174">
                  <c:v>5.675999999999999</c:v>
                </c:pt>
                <c:pt idx="175">
                  <c:v>6.250999999999999</c:v>
                </c:pt>
                <c:pt idx="176">
                  <c:v>5.107</c:v>
                </c:pt>
                <c:pt idx="177">
                  <c:v>3.088</c:v>
                </c:pt>
                <c:pt idx="178">
                  <c:v>1.748</c:v>
                </c:pt>
                <c:pt idx="179">
                  <c:v>2.747</c:v>
                </c:pt>
                <c:pt idx="180">
                  <c:v>18.327</c:v>
                </c:pt>
                <c:pt idx="181">
                  <c:v>0.672</c:v>
                </c:pt>
                <c:pt idx="182">
                  <c:v>26.282</c:v>
                </c:pt>
                <c:pt idx="183">
                  <c:v>5.736</c:v>
                </c:pt>
              </c:numCache>
            </c:numRef>
          </c:xVal>
          <c:yVal>
            <c:numRef>
              <c:f>StataData!$BF$2:$BF$185</c:f>
              <c:numCache>
                <c:formatCode>General</c:formatCode>
                <c:ptCount val="184"/>
                <c:pt idx="0">
                  <c:v>111.0</c:v>
                </c:pt>
                <c:pt idx="1">
                  <c:v>25.0</c:v>
                </c:pt>
                <c:pt idx="2">
                  <c:v>36.0</c:v>
                </c:pt>
                <c:pt idx="3">
                  <c:v>28.0</c:v>
                </c:pt>
                <c:pt idx="4">
                  <c:v>152.0</c:v>
                </c:pt>
                <c:pt idx="5">
                  <c:v>19.0</c:v>
                </c:pt>
                <c:pt idx="6">
                  <c:v>41.0</c:v>
                </c:pt>
                <c:pt idx="7">
                  <c:v>27.0</c:v>
                </c:pt>
                <c:pt idx="8">
                  <c:v>40.0</c:v>
                </c:pt>
                <c:pt idx="9">
                  <c:v>140.0</c:v>
                </c:pt>
                <c:pt idx="10">
                  <c:v>14.0</c:v>
                </c:pt>
                <c:pt idx="11">
                  <c:v>6.0</c:v>
                </c:pt>
                <c:pt idx="12">
                  <c:v>45.0</c:v>
                </c:pt>
                <c:pt idx="13">
                  <c:v>356.0</c:v>
                </c:pt>
                <c:pt idx="14">
                  <c:v>60.0</c:v>
                </c:pt>
                <c:pt idx="15">
                  <c:v>71.0</c:v>
                </c:pt>
                <c:pt idx="16">
                  <c:v>38.0</c:v>
                </c:pt>
                <c:pt idx="17">
                  <c:v>40.0</c:v>
                </c:pt>
                <c:pt idx="18">
                  <c:v>41.0</c:v>
                </c:pt>
                <c:pt idx="19">
                  <c:v>45.0</c:v>
                </c:pt>
                <c:pt idx="20">
                  <c:v>38.0</c:v>
                </c:pt>
                <c:pt idx="21">
                  <c:v>40.0</c:v>
                </c:pt>
                <c:pt idx="22">
                  <c:v>67.0</c:v>
                </c:pt>
                <c:pt idx="23">
                  <c:v>12.0</c:v>
                </c:pt>
                <c:pt idx="24">
                  <c:v>18.0</c:v>
                </c:pt>
                <c:pt idx="25">
                  <c:v>40.0</c:v>
                </c:pt>
                <c:pt idx="26">
                  <c:v>31.0</c:v>
                </c:pt>
                <c:pt idx="27">
                  <c:v>14.0</c:v>
                </c:pt>
                <c:pt idx="28">
                  <c:v>402.0</c:v>
                </c:pt>
                <c:pt idx="29">
                  <c:v>18.0</c:v>
                </c:pt>
                <c:pt idx="30">
                  <c:v>14.0</c:v>
                </c:pt>
                <c:pt idx="31">
                  <c:v>37.0</c:v>
                </c:pt>
                <c:pt idx="32">
                  <c:v>50.0</c:v>
                </c:pt>
                <c:pt idx="33">
                  <c:v>27.0</c:v>
                </c:pt>
                <c:pt idx="34">
                  <c:v>41.0</c:v>
                </c:pt>
                <c:pt idx="35">
                  <c:v>17.0</c:v>
                </c:pt>
                <c:pt idx="36">
                  <c:v>89.0</c:v>
                </c:pt>
                <c:pt idx="37">
                  <c:v>66.0</c:v>
                </c:pt>
                <c:pt idx="38">
                  <c:v>6.0</c:v>
                </c:pt>
                <c:pt idx="39">
                  <c:v>34.0</c:v>
                </c:pt>
                <c:pt idx="40">
                  <c:v>128.0</c:v>
                </c:pt>
                <c:pt idx="41">
                  <c:v>119.0</c:v>
                </c:pt>
                <c:pt idx="42">
                  <c:v>49.0</c:v>
                </c:pt>
                <c:pt idx="43">
                  <c:v>47.0</c:v>
                </c:pt>
                <c:pt idx="44">
                  <c:v>44.0</c:v>
                </c:pt>
                <c:pt idx="45">
                  <c:v>51.0</c:v>
                </c:pt>
                <c:pt idx="46">
                  <c:v>41.0</c:v>
                </c:pt>
                <c:pt idx="47">
                  <c:v>87.0</c:v>
                </c:pt>
                <c:pt idx="48">
                  <c:v>43.0</c:v>
                </c:pt>
                <c:pt idx="49">
                  <c:v>30.0</c:v>
                </c:pt>
                <c:pt idx="50">
                  <c:v>27.0</c:v>
                </c:pt>
                <c:pt idx="51">
                  <c:v>17.0</c:v>
                </c:pt>
                <c:pt idx="52">
                  <c:v>55.0</c:v>
                </c:pt>
                <c:pt idx="53">
                  <c:v>57.0</c:v>
                </c:pt>
                <c:pt idx="54">
                  <c:v>98.0</c:v>
                </c:pt>
                <c:pt idx="55">
                  <c:v>88.0</c:v>
                </c:pt>
                <c:pt idx="56">
                  <c:v>49.0</c:v>
                </c:pt>
                <c:pt idx="57">
                  <c:v>73.0</c:v>
                </c:pt>
                <c:pt idx="58">
                  <c:v>89.0</c:v>
                </c:pt>
                <c:pt idx="59">
                  <c:v>6.0</c:v>
                </c:pt>
                <c:pt idx="60">
                  <c:v>27.0</c:v>
                </c:pt>
                <c:pt idx="61">
                  <c:v>48.0</c:v>
                </c:pt>
                <c:pt idx="62">
                  <c:v>7.0</c:v>
                </c:pt>
                <c:pt idx="63">
                  <c:v>135.0</c:v>
                </c:pt>
                <c:pt idx="64">
                  <c:v>278.0</c:v>
                </c:pt>
                <c:pt idx="65">
                  <c:v>45.0</c:v>
                </c:pt>
                <c:pt idx="66">
                  <c:v>69.0</c:v>
                </c:pt>
                <c:pt idx="67">
                  <c:v>133.0</c:v>
                </c:pt>
                <c:pt idx="68">
                  <c:v>22.0</c:v>
                </c:pt>
                <c:pt idx="69">
                  <c:v>64.0</c:v>
                </c:pt>
                <c:pt idx="70">
                  <c:v>4.0</c:v>
                </c:pt>
                <c:pt idx="71">
                  <c:v>110.0</c:v>
                </c:pt>
                <c:pt idx="72">
                  <c:v>33.0</c:v>
                </c:pt>
                <c:pt idx="73">
                  <c:v>39.0</c:v>
                </c:pt>
                <c:pt idx="74">
                  <c:v>82.0</c:v>
                </c:pt>
                <c:pt idx="75">
                  <c:v>52.0</c:v>
                </c:pt>
                <c:pt idx="76">
                  <c:v>108.0</c:v>
                </c:pt>
                <c:pt idx="77">
                  <c:v>22.0</c:v>
                </c:pt>
                <c:pt idx="78">
                  <c:v>88.0</c:v>
                </c:pt>
                <c:pt idx="79">
                  <c:v>15.0</c:v>
                </c:pt>
                <c:pt idx="80">
                  <c:v>87.0</c:v>
                </c:pt>
                <c:pt idx="81">
                  <c:v>7.0</c:v>
                </c:pt>
                <c:pt idx="82">
                  <c:v>81.0</c:v>
                </c:pt>
                <c:pt idx="83">
                  <c:v>34.0</c:v>
                </c:pt>
                <c:pt idx="84">
                  <c:v>3.0</c:v>
                </c:pt>
                <c:pt idx="85">
                  <c:v>37.0</c:v>
                </c:pt>
                <c:pt idx="86">
                  <c:v>16.0</c:v>
                </c:pt>
                <c:pt idx="87">
                  <c:v>69.0</c:v>
                </c:pt>
                <c:pt idx="88">
                  <c:v>25.0</c:v>
                </c:pt>
                <c:pt idx="89">
                  <c:v>112.0</c:v>
                </c:pt>
                <c:pt idx="90">
                  <c:v>62.0</c:v>
                </c:pt>
                <c:pt idx="91">
                  <c:v>12.0</c:v>
                </c:pt>
                <c:pt idx="92">
                  <c:v>137.0</c:v>
                </c:pt>
                <c:pt idx="93">
                  <c:v>16.0</c:v>
                </c:pt>
                <c:pt idx="94">
                  <c:v>49.0</c:v>
                </c:pt>
                <c:pt idx="95">
                  <c:v>27.0</c:v>
                </c:pt>
                <c:pt idx="96">
                  <c:v>44.0</c:v>
                </c:pt>
                <c:pt idx="97">
                  <c:v>48.0</c:v>
                </c:pt>
                <c:pt idx="98">
                  <c:v>122.0</c:v>
                </c:pt>
                <c:pt idx="99">
                  <c:v>41.0</c:v>
                </c:pt>
                <c:pt idx="100">
                  <c:v>12.0</c:v>
                </c:pt>
                <c:pt idx="101">
                  <c:v>4.0</c:v>
                </c:pt>
                <c:pt idx="102">
                  <c:v>84.0</c:v>
                </c:pt>
                <c:pt idx="103">
                  <c:v>43.0</c:v>
                </c:pt>
                <c:pt idx="104">
                  <c:v>106.0</c:v>
                </c:pt>
                <c:pt idx="105">
                  <c:v>140.0</c:v>
                </c:pt>
                <c:pt idx="106">
                  <c:v>29.0</c:v>
                </c:pt>
                <c:pt idx="107">
                  <c:v>84.0</c:v>
                </c:pt>
                <c:pt idx="108">
                  <c:v>60.0</c:v>
                </c:pt>
                <c:pt idx="109">
                  <c:v>55.0</c:v>
                </c:pt>
                <c:pt idx="110">
                  <c:v>12.0</c:v>
                </c:pt>
                <c:pt idx="111">
                  <c:v>27.0</c:v>
                </c:pt>
                <c:pt idx="112">
                  <c:v>44.0</c:v>
                </c:pt>
                <c:pt idx="113">
                  <c:v>18.0</c:v>
                </c:pt>
                <c:pt idx="114">
                  <c:v>15.0</c:v>
                </c:pt>
                <c:pt idx="115">
                  <c:v>22.0</c:v>
                </c:pt>
                <c:pt idx="116">
                  <c:v>154.0</c:v>
                </c:pt>
                <c:pt idx="117">
                  <c:v>11.0</c:v>
                </c:pt>
                <c:pt idx="118">
                  <c:v>50.0</c:v>
                </c:pt>
                <c:pt idx="119">
                  <c:v>40.0</c:v>
                </c:pt>
                <c:pt idx="120">
                  <c:v>118.0</c:v>
                </c:pt>
                <c:pt idx="121">
                  <c:v>123.0</c:v>
                </c:pt>
                <c:pt idx="122">
                  <c:v>28.0</c:v>
                </c:pt>
                <c:pt idx="123">
                  <c:v>24.0</c:v>
                </c:pt>
                <c:pt idx="124">
                  <c:v>11.0</c:v>
                </c:pt>
                <c:pt idx="125">
                  <c:v>13.0</c:v>
                </c:pt>
                <c:pt idx="126">
                  <c:v>38.0</c:v>
                </c:pt>
                <c:pt idx="127">
                  <c:v>36.0</c:v>
                </c:pt>
                <c:pt idx="128">
                  <c:v>41.0</c:v>
                </c:pt>
                <c:pt idx="129">
                  <c:v>77.0</c:v>
                </c:pt>
                <c:pt idx="130">
                  <c:v>45.0</c:v>
                </c:pt>
                <c:pt idx="131">
                  <c:v>293.0</c:v>
                </c:pt>
                <c:pt idx="132">
                  <c:v>52.0</c:v>
                </c:pt>
                <c:pt idx="133">
                  <c:v>25.0</c:v>
                </c:pt>
                <c:pt idx="134">
                  <c:v>40.0</c:v>
                </c:pt>
                <c:pt idx="135">
                  <c:v>18.0</c:v>
                </c:pt>
                <c:pt idx="136">
                  <c:v>180.0</c:v>
                </c:pt>
                <c:pt idx="137">
                  <c:v>36.0</c:v>
                </c:pt>
                <c:pt idx="138">
                  <c:v>56.0</c:v>
                </c:pt>
                <c:pt idx="139">
                  <c:v>23.0</c:v>
                </c:pt>
                <c:pt idx="140">
                  <c:v>89.0</c:v>
                </c:pt>
                <c:pt idx="141">
                  <c:v>147.0</c:v>
                </c:pt>
                <c:pt idx="142">
                  <c:v>44.0</c:v>
                </c:pt>
                <c:pt idx="143">
                  <c:v>63.0</c:v>
                </c:pt>
                <c:pt idx="144">
                  <c:v>24.0</c:v>
                </c:pt>
                <c:pt idx="145">
                  <c:v>150.0</c:v>
                </c:pt>
                <c:pt idx="146">
                  <c:v>37.0</c:v>
                </c:pt>
                <c:pt idx="147">
                  <c:v>85.0</c:v>
                </c:pt>
                <c:pt idx="148">
                  <c:v>60.0</c:v>
                </c:pt>
                <c:pt idx="149">
                  <c:v>41.0</c:v>
                </c:pt>
                <c:pt idx="150">
                  <c:v>3.0</c:v>
                </c:pt>
                <c:pt idx="151">
                  <c:v>29.0</c:v>
                </c:pt>
                <c:pt idx="152">
                  <c:v>30.0</c:v>
                </c:pt>
                <c:pt idx="153">
                  <c:v>45.0</c:v>
                </c:pt>
                <c:pt idx="154">
                  <c:v>23.0</c:v>
                </c:pt>
                <c:pt idx="155">
                  <c:v>19.0</c:v>
                </c:pt>
                <c:pt idx="156">
                  <c:v>18.0</c:v>
                </c:pt>
                <c:pt idx="157">
                  <c:v>24.0</c:v>
                </c:pt>
                <c:pt idx="158">
                  <c:v>358.0</c:v>
                </c:pt>
                <c:pt idx="159">
                  <c:v>43.0</c:v>
                </c:pt>
                <c:pt idx="160">
                  <c:v>13.0</c:v>
                </c:pt>
                <c:pt idx="161">
                  <c:v>31.0</c:v>
                </c:pt>
                <c:pt idx="162">
                  <c:v>15.0</c:v>
                </c:pt>
                <c:pt idx="163">
                  <c:v>37.0</c:v>
                </c:pt>
                <c:pt idx="164">
                  <c:v>443.0</c:v>
                </c:pt>
                <c:pt idx="165">
                  <c:v>34.0</c:v>
                </c:pt>
                <c:pt idx="166">
                  <c:v>84.0</c:v>
                </c:pt>
                <c:pt idx="167">
                  <c:v>22.0</c:v>
                </c:pt>
                <c:pt idx="168">
                  <c:v>231.0</c:v>
                </c:pt>
                <c:pt idx="169">
                  <c:v>48.0</c:v>
                </c:pt>
                <c:pt idx="170">
                  <c:v>17.0</c:v>
                </c:pt>
                <c:pt idx="171">
                  <c:v>103.0</c:v>
                </c:pt>
                <c:pt idx="172">
                  <c:v>176.0</c:v>
                </c:pt>
                <c:pt idx="173">
                  <c:v>16.0</c:v>
                </c:pt>
                <c:pt idx="174">
                  <c:v>123.0</c:v>
                </c:pt>
                <c:pt idx="175">
                  <c:v>96.0</c:v>
                </c:pt>
                <c:pt idx="176">
                  <c:v>94.0</c:v>
                </c:pt>
                <c:pt idx="177">
                  <c:v>25.0</c:v>
                </c:pt>
                <c:pt idx="178">
                  <c:v>42.0</c:v>
                </c:pt>
                <c:pt idx="179">
                  <c:v>32.0</c:v>
                </c:pt>
                <c:pt idx="180">
                  <c:v>14.0</c:v>
                </c:pt>
                <c:pt idx="181">
                  <c:v>44.0</c:v>
                </c:pt>
                <c:pt idx="182">
                  <c:v>10.0</c:v>
                </c:pt>
                <c:pt idx="183">
                  <c:v>179.0</c:v>
                </c:pt>
              </c:numCache>
            </c:numRef>
          </c:yVal>
        </c:ser>
        <c:axId val="565207656"/>
        <c:axId val="565193720"/>
      </c:scatterChart>
      <c:valAx>
        <c:axId val="56520765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Completeness</a:t>
                </a:r>
              </a:p>
            </c:rich>
          </c:tx>
        </c:title>
        <c:numFmt formatCode="General" sourceLinked="1"/>
        <c:tickLblPos val="nextTo"/>
        <c:crossAx val="565193720"/>
        <c:crosses val="autoZero"/>
        <c:crossBetween val="midCat"/>
      </c:valAx>
      <c:valAx>
        <c:axId val="565193720"/>
        <c:scaling>
          <c:orientation val="minMax"/>
          <c:min val="0.0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DVKT per capita</a:t>
                </a:r>
              </a:p>
            </c:rich>
          </c:tx>
        </c:title>
        <c:numFmt formatCode="General" sourceLinked="1"/>
        <c:tickLblPos val="nextTo"/>
        <c:crossAx val="565207656"/>
        <c:crosses val="autoZero"/>
        <c:crossBetween val="midCat"/>
      </c:valAx>
    </c:plotArea>
    <c:plotVisOnly val="1"/>
  </c:char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US"/>
  <c:style val="12"/>
  <c:chart>
    <c:title>
      <c:tx>
        <c:rich>
          <a:bodyPr/>
          <a:lstStyle/>
          <a:p>
            <a:pPr>
              <a:defRPr/>
            </a:pPr>
            <a:r>
              <a:rPr lang="en-US"/>
              <a:t>DVKT per capita vs. Circuity measure</a:t>
            </a:r>
          </a:p>
        </c:rich>
      </c:tx>
    </c:title>
    <c:plotArea>
      <c:layout/>
      <c:scatterChart>
        <c:scatterStyle val="lineMarker"/>
        <c:ser>
          <c:idx val="0"/>
          <c:order val="0"/>
          <c:tx>
            <c:strRef>
              <c:f>StataData!$BI$1</c:f>
              <c:strCache>
                <c:ptCount val="1"/>
                <c:pt idx="0">
                  <c:v>avg_tt</c:v>
                </c:pt>
              </c:strCache>
            </c:strRef>
          </c:tx>
          <c:spPr>
            <a:ln w="47625">
              <a:noFill/>
            </a:ln>
          </c:spPr>
          <c:marker>
            <c:symbol val="circle"/>
            <c:size val="6"/>
          </c:marker>
          <c:trendline>
            <c:trendlineType val="linear"/>
            <c:dispRSqr val="1"/>
            <c:dispEq val="1"/>
            <c:trendlineLbl>
              <c:layout>
                <c:manualLayout>
                  <c:x val="-0.0115858850976961"/>
                  <c:y val="-0.0509966528845614"/>
                </c:manualLayout>
              </c:layout>
              <c:numFmt formatCode="General" sourceLinked="0"/>
            </c:trendlineLbl>
          </c:trendline>
          <c:xVal>
            <c:numRef>
              <c:f>StataData!$AC$2:$AC$185</c:f>
              <c:numCache>
                <c:formatCode>General</c:formatCode>
                <c:ptCount val="184"/>
                <c:pt idx="0">
                  <c:v>1.44</c:v>
                </c:pt>
                <c:pt idx="1">
                  <c:v>1.4</c:v>
                </c:pt>
                <c:pt idx="2">
                  <c:v>1.39</c:v>
                </c:pt>
                <c:pt idx="3">
                  <c:v>1.33</c:v>
                </c:pt>
                <c:pt idx="4">
                  <c:v>1.34</c:v>
                </c:pt>
                <c:pt idx="5">
                  <c:v>1.4</c:v>
                </c:pt>
                <c:pt idx="6">
                  <c:v>1.62</c:v>
                </c:pt>
                <c:pt idx="7">
                  <c:v>1.3</c:v>
                </c:pt>
                <c:pt idx="8">
                  <c:v>1.53</c:v>
                </c:pt>
                <c:pt idx="9">
                  <c:v>1.41</c:v>
                </c:pt>
                <c:pt idx="10">
                  <c:v>1.39</c:v>
                </c:pt>
                <c:pt idx="11">
                  <c:v>1.28</c:v>
                </c:pt>
                <c:pt idx="12">
                  <c:v>1.39</c:v>
                </c:pt>
                <c:pt idx="13">
                  <c:v>1.45</c:v>
                </c:pt>
                <c:pt idx="14">
                  <c:v>1.28</c:v>
                </c:pt>
                <c:pt idx="15">
                  <c:v>1.32</c:v>
                </c:pt>
                <c:pt idx="16">
                  <c:v>1.35</c:v>
                </c:pt>
                <c:pt idx="17">
                  <c:v>1.35</c:v>
                </c:pt>
                <c:pt idx="18">
                  <c:v>1.3</c:v>
                </c:pt>
                <c:pt idx="19">
                  <c:v>1.63</c:v>
                </c:pt>
                <c:pt idx="20">
                  <c:v>1.54</c:v>
                </c:pt>
                <c:pt idx="21">
                  <c:v>1.36</c:v>
                </c:pt>
                <c:pt idx="22">
                  <c:v>1.4</c:v>
                </c:pt>
                <c:pt idx="23">
                  <c:v>1.38</c:v>
                </c:pt>
                <c:pt idx="24">
                  <c:v>1.32</c:v>
                </c:pt>
                <c:pt idx="25">
                  <c:v>1.5</c:v>
                </c:pt>
                <c:pt idx="26">
                  <c:v>1.44</c:v>
                </c:pt>
                <c:pt idx="27">
                  <c:v>1.5</c:v>
                </c:pt>
                <c:pt idx="28">
                  <c:v>1.24</c:v>
                </c:pt>
                <c:pt idx="29">
                  <c:v>1.41</c:v>
                </c:pt>
                <c:pt idx="30">
                  <c:v>1.3</c:v>
                </c:pt>
                <c:pt idx="31">
                  <c:v>1.28</c:v>
                </c:pt>
                <c:pt idx="32">
                  <c:v>1.34</c:v>
                </c:pt>
                <c:pt idx="33">
                  <c:v>1.44</c:v>
                </c:pt>
                <c:pt idx="34">
                  <c:v>1.43</c:v>
                </c:pt>
                <c:pt idx="35">
                  <c:v>1.38</c:v>
                </c:pt>
                <c:pt idx="36">
                  <c:v>1.48</c:v>
                </c:pt>
                <c:pt idx="37">
                  <c:v>1.58</c:v>
                </c:pt>
                <c:pt idx="38">
                  <c:v>1.47</c:v>
                </c:pt>
                <c:pt idx="39">
                  <c:v>1.52</c:v>
                </c:pt>
                <c:pt idx="40">
                  <c:v>1.32</c:v>
                </c:pt>
                <c:pt idx="41">
                  <c:v>1.4</c:v>
                </c:pt>
                <c:pt idx="42">
                  <c:v>1.28</c:v>
                </c:pt>
                <c:pt idx="43">
                  <c:v>1.4</c:v>
                </c:pt>
                <c:pt idx="44">
                  <c:v>1.35</c:v>
                </c:pt>
                <c:pt idx="45">
                  <c:v>1.32</c:v>
                </c:pt>
                <c:pt idx="46">
                  <c:v>1.79</c:v>
                </c:pt>
                <c:pt idx="47">
                  <c:v>1.43</c:v>
                </c:pt>
                <c:pt idx="48">
                  <c:v>1.35</c:v>
                </c:pt>
                <c:pt idx="49">
                  <c:v>1.3</c:v>
                </c:pt>
                <c:pt idx="50">
                  <c:v>1.36</c:v>
                </c:pt>
                <c:pt idx="51">
                  <c:v>1.32</c:v>
                </c:pt>
                <c:pt idx="52">
                  <c:v>1.47</c:v>
                </c:pt>
                <c:pt idx="53">
                  <c:v>1.31</c:v>
                </c:pt>
                <c:pt idx="54">
                  <c:v>1.49</c:v>
                </c:pt>
                <c:pt idx="55">
                  <c:v>1.33</c:v>
                </c:pt>
                <c:pt idx="56">
                  <c:v>1.42</c:v>
                </c:pt>
                <c:pt idx="57">
                  <c:v>1.46</c:v>
                </c:pt>
                <c:pt idx="58">
                  <c:v>1.38</c:v>
                </c:pt>
                <c:pt idx="59">
                  <c:v>1.67</c:v>
                </c:pt>
                <c:pt idx="60">
                  <c:v>1.4</c:v>
                </c:pt>
                <c:pt idx="61">
                  <c:v>1.44</c:v>
                </c:pt>
                <c:pt idx="62">
                  <c:v>1.41</c:v>
                </c:pt>
                <c:pt idx="63">
                  <c:v>1.36</c:v>
                </c:pt>
                <c:pt idx="64">
                  <c:v>1.54</c:v>
                </c:pt>
                <c:pt idx="65">
                  <c:v>1.33</c:v>
                </c:pt>
                <c:pt idx="66">
                  <c:v>1.26</c:v>
                </c:pt>
                <c:pt idx="67">
                  <c:v>2.03</c:v>
                </c:pt>
                <c:pt idx="68">
                  <c:v>1.34</c:v>
                </c:pt>
                <c:pt idx="69">
                  <c:v>1.36</c:v>
                </c:pt>
                <c:pt idx="70">
                  <c:v>1.75</c:v>
                </c:pt>
                <c:pt idx="71">
                  <c:v>1.41</c:v>
                </c:pt>
                <c:pt idx="72">
                  <c:v>1.32</c:v>
                </c:pt>
                <c:pt idx="73">
                  <c:v>1.35</c:v>
                </c:pt>
                <c:pt idx="74">
                  <c:v>1.37</c:v>
                </c:pt>
                <c:pt idx="75">
                  <c:v>1.4</c:v>
                </c:pt>
                <c:pt idx="76">
                  <c:v>1.4</c:v>
                </c:pt>
                <c:pt idx="77">
                  <c:v>1.51</c:v>
                </c:pt>
                <c:pt idx="78">
                  <c:v>1.43</c:v>
                </c:pt>
                <c:pt idx="79">
                  <c:v>1.32</c:v>
                </c:pt>
                <c:pt idx="80">
                  <c:v>1.3</c:v>
                </c:pt>
                <c:pt idx="81">
                  <c:v>1.78</c:v>
                </c:pt>
                <c:pt idx="82">
                  <c:v>1.51</c:v>
                </c:pt>
                <c:pt idx="83">
                  <c:v>1.28</c:v>
                </c:pt>
                <c:pt idx="84">
                  <c:v>1.25</c:v>
                </c:pt>
                <c:pt idx="85">
                  <c:v>1.26</c:v>
                </c:pt>
                <c:pt idx="86">
                  <c:v>1.36</c:v>
                </c:pt>
                <c:pt idx="87">
                  <c:v>1.9</c:v>
                </c:pt>
                <c:pt idx="88">
                  <c:v>1.78</c:v>
                </c:pt>
                <c:pt idx="89">
                  <c:v>1.54</c:v>
                </c:pt>
                <c:pt idx="90">
                  <c:v>1.32</c:v>
                </c:pt>
                <c:pt idx="91">
                  <c:v>1.65</c:v>
                </c:pt>
                <c:pt idx="92">
                  <c:v>1.46</c:v>
                </c:pt>
                <c:pt idx="93">
                  <c:v>1.52</c:v>
                </c:pt>
                <c:pt idx="94">
                  <c:v>1.4</c:v>
                </c:pt>
                <c:pt idx="95">
                  <c:v>1.39</c:v>
                </c:pt>
                <c:pt idx="96">
                  <c:v>1.34</c:v>
                </c:pt>
                <c:pt idx="97">
                  <c:v>1.5</c:v>
                </c:pt>
                <c:pt idx="98">
                  <c:v>1.38</c:v>
                </c:pt>
                <c:pt idx="99">
                  <c:v>1.5</c:v>
                </c:pt>
                <c:pt idx="100">
                  <c:v>1.35</c:v>
                </c:pt>
                <c:pt idx="101">
                  <c:v>1.14</c:v>
                </c:pt>
                <c:pt idx="102">
                  <c:v>1.39</c:v>
                </c:pt>
                <c:pt idx="103">
                  <c:v>1.71</c:v>
                </c:pt>
                <c:pt idx="104">
                  <c:v>1.42</c:v>
                </c:pt>
                <c:pt idx="105">
                  <c:v>1.21</c:v>
                </c:pt>
                <c:pt idx="106">
                  <c:v>1.16</c:v>
                </c:pt>
                <c:pt idx="107">
                  <c:v>1.31</c:v>
                </c:pt>
                <c:pt idx="108">
                  <c:v>1.34</c:v>
                </c:pt>
                <c:pt idx="109">
                  <c:v>1.75</c:v>
                </c:pt>
                <c:pt idx="110">
                  <c:v>1.5</c:v>
                </c:pt>
                <c:pt idx="111">
                  <c:v>1.33</c:v>
                </c:pt>
                <c:pt idx="112">
                  <c:v>1.42</c:v>
                </c:pt>
                <c:pt idx="113">
                  <c:v>1.27</c:v>
                </c:pt>
                <c:pt idx="114">
                  <c:v>1.27</c:v>
                </c:pt>
                <c:pt idx="115">
                  <c:v>1.58</c:v>
                </c:pt>
                <c:pt idx="116">
                  <c:v>1.49</c:v>
                </c:pt>
                <c:pt idx="117">
                  <c:v>1.33</c:v>
                </c:pt>
                <c:pt idx="118">
                  <c:v>1.38</c:v>
                </c:pt>
                <c:pt idx="119">
                  <c:v>1.2</c:v>
                </c:pt>
                <c:pt idx="120">
                  <c:v>1.38</c:v>
                </c:pt>
                <c:pt idx="121">
                  <c:v>1.4</c:v>
                </c:pt>
                <c:pt idx="122">
                  <c:v>1.47</c:v>
                </c:pt>
                <c:pt idx="123">
                  <c:v>1.31</c:v>
                </c:pt>
                <c:pt idx="124">
                  <c:v>1.76</c:v>
                </c:pt>
                <c:pt idx="125">
                  <c:v>1.31</c:v>
                </c:pt>
                <c:pt idx="126">
                  <c:v>1.49</c:v>
                </c:pt>
                <c:pt idx="127">
                  <c:v>1.36</c:v>
                </c:pt>
                <c:pt idx="128">
                  <c:v>1.29</c:v>
                </c:pt>
                <c:pt idx="129">
                  <c:v>1.6</c:v>
                </c:pt>
                <c:pt idx="130">
                  <c:v>1.27</c:v>
                </c:pt>
                <c:pt idx="131">
                  <c:v>1.6</c:v>
                </c:pt>
                <c:pt idx="132">
                  <c:v>1.33</c:v>
                </c:pt>
                <c:pt idx="133">
                  <c:v>1.5</c:v>
                </c:pt>
                <c:pt idx="134">
                  <c:v>1.4</c:v>
                </c:pt>
                <c:pt idx="135">
                  <c:v>1.42</c:v>
                </c:pt>
                <c:pt idx="136">
                  <c:v>1.33</c:v>
                </c:pt>
                <c:pt idx="137">
                  <c:v>1.42</c:v>
                </c:pt>
                <c:pt idx="138">
                  <c:v>1.26</c:v>
                </c:pt>
                <c:pt idx="139">
                  <c:v>1.3</c:v>
                </c:pt>
                <c:pt idx="140">
                  <c:v>1.37</c:v>
                </c:pt>
                <c:pt idx="141">
                  <c:v>1.72</c:v>
                </c:pt>
                <c:pt idx="142">
                  <c:v>1.29</c:v>
                </c:pt>
                <c:pt idx="143">
                  <c:v>1.28</c:v>
                </c:pt>
                <c:pt idx="144">
                  <c:v>1.49</c:v>
                </c:pt>
                <c:pt idx="145">
                  <c:v>1.68</c:v>
                </c:pt>
                <c:pt idx="146">
                  <c:v>1.4</c:v>
                </c:pt>
                <c:pt idx="147">
                  <c:v>1.46</c:v>
                </c:pt>
                <c:pt idx="148">
                  <c:v>1.35</c:v>
                </c:pt>
                <c:pt idx="149">
                  <c:v>1.29</c:v>
                </c:pt>
                <c:pt idx="150">
                  <c:v>1.55</c:v>
                </c:pt>
                <c:pt idx="151">
                  <c:v>1.28</c:v>
                </c:pt>
                <c:pt idx="152">
                  <c:v>1.35</c:v>
                </c:pt>
                <c:pt idx="153">
                  <c:v>1.42</c:v>
                </c:pt>
                <c:pt idx="154">
                  <c:v>1.33</c:v>
                </c:pt>
                <c:pt idx="155">
                  <c:v>1.28</c:v>
                </c:pt>
                <c:pt idx="156">
                  <c:v>1.53</c:v>
                </c:pt>
                <c:pt idx="157">
                  <c:v>1.28</c:v>
                </c:pt>
                <c:pt idx="158">
                  <c:v>1.56</c:v>
                </c:pt>
                <c:pt idx="159">
                  <c:v>1.32</c:v>
                </c:pt>
                <c:pt idx="160">
                  <c:v>1.32</c:v>
                </c:pt>
                <c:pt idx="161">
                  <c:v>1.18</c:v>
                </c:pt>
                <c:pt idx="162">
                  <c:v>1.3</c:v>
                </c:pt>
                <c:pt idx="163">
                  <c:v>1.84</c:v>
                </c:pt>
                <c:pt idx="164">
                  <c:v>1.8</c:v>
                </c:pt>
                <c:pt idx="165">
                  <c:v>1.56</c:v>
                </c:pt>
                <c:pt idx="166">
                  <c:v>1.56</c:v>
                </c:pt>
                <c:pt idx="167">
                  <c:v>1.36</c:v>
                </c:pt>
                <c:pt idx="168">
                  <c:v>1.33</c:v>
                </c:pt>
                <c:pt idx="169">
                  <c:v>1.52</c:v>
                </c:pt>
                <c:pt idx="170">
                  <c:v>1.66</c:v>
                </c:pt>
                <c:pt idx="171">
                  <c:v>1.53</c:v>
                </c:pt>
                <c:pt idx="172">
                  <c:v>1.38</c:v>
                </c:pt>
                <c:pt idx="173">
                  <c:v>1.47</c:v>
                </c:pt>
                <c:pt idx="174">
                  <c:v>1.78</c:v>
                </c:pt>
                <c:pt idx="175">
                  <c:v>1.26</c:v>
                </c:pt>
                <c:pt idx="176">
                  <c:v>1.54</c:v>
                </c:pt>
                <c:pt idx="177">
                  <c:v>1.3</c:v>
                </c:pt>
                <c:pt idx="178">
                  <c:v>1.29</c:v>
                </c:pt>
                <c:pt idx="179">
                  <c:v>1.58</c:v>
                </c:pt>
                <c:pt idx="180">
                  <c:v>1.31</c:v>
                </c:pt>
                <c:pt idx="181">
                  <c:v>1.34</c:v>
                </c:pt>
                <c:pt idx="182">
                  <c:v>1.42</c:v>
                </c:pt>
                <c:pt idx="183">
                  <c:v>1.52</c:v>
                </c:pt>
              </c:numCache>
            </c:numRef>
          </c:xVal>
          <c:yVal>
            <c:numRef>
              <c:f>StataData!$BF$2:$BF$185</c:f>
              <c:numCache>
                <c:formatCode>General</c:formatCode>
                <c:ptCount val="184"/>
                <c:pt idx="0">
                  <c:v>111.0</c:v>
                </c:pt>
                <c:pt idx="1">
                  <c:v>25.0</c:v>
                </c:pt>
                <c:pt idx="2">
                  <c:v>36.0</c:v>
                </c:pt>
                <c:pt idx="3">
                  <c:v>28.0</c:v>
                </c:pt>
                <c:pt idx="4">
                  <c:v>152.0</c:v>
                </c:pt>
                <c:pt idx="5">
                  <c:v>19.0</c:v>
                </c:pt>
                <c:pt idx="6">
                  <c:v>41.0</c:v>
                </c:pt>
                <c:pt idx="7">
                  <c:v>27.0</c:v>
                </c:pt>
                <c:pt idx="8">
                  <c:v>40.0</c:v>
                </c:pt>
                <c:pt idx="9">
                  <c:v>140.0</c:v>
                </c:pt>
                <c:pt idx="10">
                  <c:v>14.0</c:v>
                </c:pt>
                <c:pt idx="11">
                  <c:v>6.0</c:v>
                </c:pt>
                <c:pt idx="12">
                  <c:v>45.0</c:v>
                </c:pt>
                <c:pt idx="13">
                  <c:v>356.0</c:v>
                </c:pt>
                <c:pt idx="14">
                  <c:v>60.0</c:v>
                </c:pt>
                <c:pt idx="15">
                  <c:v>71.0</c:v>
                </c:pt>
                <c:pt idx="16">
                  <c:v>38.0</c:v>
                </c:pt>
                <c:pt idx="17">
                  <c:v>40.0</c:v>
                </c:pt>
                <c:pt idx="18">
                  <c:v>41.0</c:v>
                </c:pt>
                <c:pt idx="19">
                  <c:v>45.0</c:v>
                </c:pt>
                <c:pt idx="20">
                  <c:v>38.0</c:v>
                </c:pt>
                <c:pt idx="21">
                  <c:v>40.0</c:v>
                </c:pt>
                <c:pt idx="22">
                  <c:v>67.0</c:v>
                </c:pt>
                <c:pt idx="23">
                  <c:v>12.0</c:v>
                </c:pt>
                <c:pt idx="24">
                  <c:v>18.0</c:v>
                </c:pt>
                <c:pt idx="25">
                  <c:v>40.0</c:v>
                </c:pt>
                <c:pt idx="26">
                  <c:v>31.0</c:v>
                </c:pt>
                <c:pt idx="27">
                  <c:v>14.0</c:v>
                </c:pt>
                <c:pt idx="28">
                  <c:v>402.0</c:v>
                </c:pt>
                <c:pt idx="29">
                  <c:v>18.0</c:v>
                </c:pt>
                <c:pt idx="30">
                  <c:v>14.0</c:v>
                </c:pt>
                <c:pt idx="31">
                  <c:v>37.0</c:v>
                </c:pt>
                <c:pt idx="32">
                  <c:v>50.0</c:v>
                </c:pt>
                <c:pt idx="33">
                  <c:v>27.0</c:v>
                </c:pt>
                <c:pt idx="34">
                  <c:v>41.0</c:v>
                </c:pt>
                <c:pt idx="35">
                  <c:v>17.0</c:v>
                </c:pt>
                <c:pt idx="36">
                  <c:v>89.0</c:v>
                </c:pt>
                <c:pt idx="37">
                  <c:v>66.0</c:v>
                </c:pt>
                <c:pt idx="38">
                  <c:v>6.0</c:v>
                </c:pt>
                <c:pt idx="39">
                  <c:v>34.0</c:v>
                </c:pt>
                <c:pt idx="40">
                  <c:v>128.0</c:v>
                </c:pt>
                <c:pt idx="41">
                  <c:v>119.0</c:v>
                </c:pt>
                <c:pt idx="42">
                  <c:v>49.0</c:v>
                </c:pt>
                <c:pt idx="43">
                  <c:v>47.0</c:v>
                </c:pt>
                <c:pt idx="44">
                  <c:v>44.0</c:v>
                </c:pt>
                <c:pt idx="45">
                  <c:v>51.0</c:v>
                </c:pt>
                <c:pt idx="46">
                  <c:v>41.0</c:v>
                </c:pt>
                <c:pt idx="47">
                  <c:v>87.0</c:v>
                </c:pt>
                <c:pt idx="48">
                  <c:v>43.0</c:v>
                </c:pt>
                <c:pt idx="49">
                  <c:v>30.0</c:v>
                </c:pt>
                <c:pt idx="50">
                  <c:v>27.0</c:v>
                </c:pt>
                <c:pt idx="51">
                  <c:v>17.0</c:v>
                </c:pt>
                <c:pt idx="52">
                  <c:v>55.0</c:v>
                </c:pt>
                <c:pt idx="53">
                  <c:v>57.0</c:v>
                </c:pt>
                <c:pt idx="54">
                  <c:v>98.0</c:v>
                </c:pt>
                <c:pt idx="55">
                  <c:v>88.0</c:v>
                </c:pt>
                <c:pt idx="56">
                  <c:v>49.0</c:v>
                </c:pt>
                <c:pt idx="57">
                  <c:v>73.0</c:v>
                </c:pt>
                <c:pt idx="58">
                  <c:v>89.0</c:v>
                </c:pt>
                <c:pt idx="59">
                  <c:v>6.0</c:v>
                </c:pt>
                <c:pt idx="60">
                  <c:v>27.0</c:v>
                </c:pt>
                <c:pt idx="61">
                  <c:v>48.0</c:v>
                </c:pt>
                <c:pt idx="62">
                  <c:v>7.0</c:v>
                </c:pt>
                <c:pt idx="63">
                  <c:v>135.0</c:v>
                </c:pt>
                <c:pt idx="64">
                  <c:v>278.0</c:v>
                </c:pt>
                <c:pt idx="65">
                  <c:v>45.0</c:v>
                </c:pt>
                <c:pt idx="66">
                  <c:v>69.0</c:v>
                </c:pt>
                <c:pt idx="67">
                  <c:v>133.0</c:v>
                </c:pt>
                <c:pt idx="68">
                  <c:v>22.0</c:v>
                </c:pt>
                <c:pt idx="69">
                  <c:v>64.0</c:v>
                </c:pt>
                <c:pt idx="70">
                  <c:v>4.0</c:v>
                </c:pt>
                <c:pt idx="71">
                  <c:v>110.0</c:v>
                </c:pt>
                <c:pt idx="72">
                  <c:v>33.0</c:v>
                </c:pt>
                <c:pt idx="73">
                  <c:v>39.0</c:v>
                </c:pt>
                <c:pt idx="74">
                  <c:v>82.0</c:v>
                </c:pt>
                <c:pt idx="75">
                  <c:v>52.0</c:v>
                </c:pt>
                <c:pt idx="76">
                  <c:v>108.0</c:v>
                </c:pt>
                <c:pt idx="77">
                  <c:v>22.0</c:v>
                </c:pt>
                <c:pt idx="78">
                  <c:v>88.0</c:v>
                </c:pt>
                <c:pt idx="79">
                  <c:v>15.0</c:v>
                </c:pt>
                <c:pt idx="80">
                  <c:v>87.0</c:v>
                </c:pt>
                <c:pt idx="81">
                  <c:v>7.0</c:v>
                </c:pt>
                <c:pt idx="82">
                  <c:v>81.0</c:v>
                </c:pt>
                <c:pt idx="83">
                  <c:v>34.0</c:v>
                </c:pt>
                <c:pt idx="84">
                  <c:v>3.0</c:v>
                </c:pt>
                <c:pt idx="85">
                  <c:v>37.0</c:v>
                </c:pt>
                <c:pt idx="86">
                  <c:v>16.0</c:v>
                </c:pt>
                <c:pt idx="87">
                  <c:v>69.0</c:v>
                </c:pt>
                <c:pt idx="88">
                  <c:v>25.0</c:v>
                </c:pt>
                <c:pt idx="89">
                  <c:v>112.0</c:v>
                </c:pt>
                <c:pt idx="90">
                  <c:v>62.0</c:v>
                </c:pt>
                <c:pt idx="91">
                  <c:v>12.0</c:v>
                </c:pt>
                <c:pt idx="92">
                  <c:v>137.0</c:v>
                </c:pt>
                <c:pt idx="93">
                  <c:v>16.0</c:v>
                </c:pt>
                <c:pt idx="94">
                  <c:v>49.0</c:v>
                </c:pt>
                <c:pt idx="95">
                  <c:v>27.0</c:v>
                </c:pt>
                <c:pt idx="96">
                  <c:v>44.0</c:v>
                </c:pt>
                <c:pt idx="97">
                  <c:v>48.0</c:v>
                </c:pt>
                <c:pt idx="98">
                  <c:v>122.0</c:v>
                </c:pt>
                <c:pt idx="99">
                  <c:v>41.0</c:v>
                </c:pt>
                <c:pt idx="100">
                  <c:v>12.0</c:v>
                </c:pt>
                <c:pt idx="101">
                  <c:v>4.0</c:v>
                </c:pt>
                <c:pt idx="102">
                  <c:v>84.0</c:v>
                </c:pt>
                <c:pt idx="103">
                  <c:v>43.0</c:v>
                </c:pt>
                <c:pt idx="104">
                  <c:v>106.0</c:v>
                </c:pt>
                <c:pt idx="105">
                  <c:v>140.0</c:v>
                </c:pt>
                <c:pt idx="106">
                  <c:v>29.0</c:v>
                </c:pt>
                <c:pt idx="107">
                  <c:v>84.0</c:v>
                </c:pt>
                <c:pt idx="108">
                  <c:v>60.0</c:v>
                </c:pt>
                <c:pt idx="109">
                  <c:v>55.0</c:v>
                </c:pt>
                <c:pt idx="110">
                  <c:v>12.0</c:v>
                </c:pt>
                <c:pt idx="111">
                  <c:v>27.0</c:v>
                </c:pt>
                <c:pt idx="112">
                  <c:v>44.0</c:v>
                </c:pt>
                <c:pt idx="113">
                  <c:v>18.0</c:v>
                </c:pt>
                <c:pt idx="114">
                  <c:v>15.0</c:v>
                </c:pt>
                <c:pt idx="115">
                  <c:v>22.0</c:v>
                </c:pt>
                <c:pt idx="116">
                  <c:v>154.0</c:v>
                </c:pt>
                <c:pt idx="117">
                  <c:v>11.0</c:v>
                </c:pt>
                <c:pt idx="118">
                  <c:v>50.0</c:v>
                </c:pt>
                <c:pt idx="119">
                  <c:v>40.0</c:v>
                </c:pt>
                <c:pt idx="120">
                  <c:v>118.0</c:v>
                </c:pt>
                <c:pt idx="121">
                  <c:v>123.0</c:v>
                </c:pt>
                <c:pt idx="122">
                  <c:v>28.0</c:v>
                </c:pt>
                <c:pt idx="123">
                  <c:v>24.0</c:v>
                </c:pt>
                <c:pt idx="124">
                  <c:v>11.0</c:v>
                </c:pt>
                <c:pt idx="125">
                  <c:v>13.0</c:v>
                </c:pt>
                <c:pt idx="126">
                  <c:v>38.0</c:v>
                </c:pt>
                <c:pt idx="127">
                  <c:v>36.0</c:v>
                </c:pt>
                <c:pt idx="128">
                  <c:v>41.0</c:v>
                </c:pt>
                <c:pt idx="129">
                  <c:v>77.0</c:v>
                </c:pt>
                <c:pt idx="130">
                  <c:v>45.0</c:v>
                </c:pt>
                <c:pt idx="131">
                  <c:v>293.0</c:v>
                </c:pt>
                <c:pt idx="132">
                  <c:v>52.0</c:v>
                </c:pt>
                <c:pt idx="133">
                  <c:v>25.0</c:v>
                </c:pt>
                <c:pt idx="134">
                  <c:v>40.0</c:v>
                </c:pt>
                <c:pt idx="135">
                  <c:v>18.0</c:v>
                </c:pt>
                <c:pt idx="136">
                  <c:v>180.0</c:v>
                </c:pt>
                <c:pt idx="137">
                  <c:v>36.0</c:v>
                </c:pt>
                <c:pt idx="138">
                  <c:v>56.0</c:v>
                </c:pt>
                <c:pt idx="139">
                  <c:v>23.0</c:v>
                </c:pt>
                <c:pt idx="140">
                  <c:v>89.0</c:v>
                </c:pt>
                <c:pt idx="141">
                  <c:v>147.0</c:v>
                </c:pt>
                <c:pt idx="142">
                  <c:v>44.0</c:v>
                </c:pt>
                <c:pt idx="143">
                  <c:v>63.0</c:v>
                </c:pt>
                <c:pt idx="144">
                  <c:v>24.0</c:v>
                </c:pt>
                <c:pt idx="145">
                  <c:v>150.0</c:v>
                </c:pt>
                <c:pt idx="146">
                  <c:v>37.0</c:v>
                </c:pt>
                <c:pt idx="147">
                  <c:v>85.0</c:v>
                </c:pt>
                <c:pt idx="148">
                  <c:v>60.0</c:v>
                </c:pt>
                <c:pt idx="149">
                  <c:v>41.0</c:v>
                </c:pt>
                <c:pt idx="150">
                  <c:v>3.0</c:v>
                </c:pt>
                <c:pt idx="151">
                  <c:v>29.0</c:v>
                </c:pt>
                <c:pt idx="152">
                  <c:v>30.0</c:v>
                </c:pt>
                <c:pt idx="153">
                  <c:v>45.0</c:v>
                </c:pt>
                <c:pt idx="154">
                  <c:v>23.0</c:v>
                </c:pt>
                <c:pt idx="155">
                  <c:v>19.0</c:v>
                </c:pt>
                <c:pt idx="156">
                  <c:v>18.0</c:v>
                </c:pt>
                <c:pt idx="157">
                  <c:v>24.0</c:v>
                </c:pt>
                <c:pt idx="158">
                  <c:v>358.0</c:v>
                </c:pt>
                <c:pt idx="159">
                  <c:v>43.0</c:v>
                </c:pt>
                <c:pt idx="160">
                  <c:v>13.0</c:v>
                </c:pt>
                <c:pt idx="161">
                  <c:v>31.0</c:v>
                </c:pt>
                <c:pt idx="162">
                  <c:v>15.0</c:v>
                </c:pt>
                <c:pt idx="163">
                  <c:v>37.0</c:v>
                </c:pt>
                <c:pt idx="164">
                  <c:v>443.0</c:v>
                </c:pt>
                <c:pt idx="165">
                  <c:v>34.0</c:v>
                </c:pt>
                <c:pt idx="166">
                  <c:v>84.0</c:v>
                </c:pt>
                <c:pt idx="167">
                  <c:v>22.0</c:v>
                </c:pt>
                <c:pt idx="168">
                  <c:v>231.0</c:v>
                </c:pt>
                <c:pt idx="169">
                  <c:v>48.0</c:v>
                </c:pt>
                <c:pt idx="170">
                  <c:v>17.0</c:v>
                </c:pt>
                <c:pt idx="171">
                  <c:v>103.0</c:v>
                </c:pt>
                <c:pt idx="172">
                  <c:v>176.0</c:v>
                </c:pt>
                <c:pt idx="173">
                  <c:v>16.0</c:v>
                </c:pt>
                <c:pt idx="174">
                  <c:v>123.0</c:v>
                </c:pt>
                <c:pt idx="175">
                  <c:v>96.0</c:v>
                </c:pt>
                <c:pt idx="176">
                  <c:v>94.0</c:v>
                </c:pt>
                <c:pt idx="177">
                  <c:v>25.0</c:v>
                </c:pt>
                <c:pt idx="178">
                  <c:v>42.0</c:v>
                </c:pt>
                <c:pt idx="179">
                  <c:v>32.0</c:v>
                </c:pt>
                <c:pt idx="180">
                  <c:v>14.0</c:v>
                </c:pt>
                <c:pt idx="181">
                  <c:v>44.0</c:v>
                </c:pt>
                <c:pt idx="182">
                  <c:v>10.0</c:v>
                </c:pt>
                <c:pt idx="183">
                  <c:v>179.0</c:v>
                </c:pt>
              </c:numCache>
            </c:numRef>
          </c:yVal>
        </c:ser>
        <c:axId val="337600376"/>
        <c:axId val="337579736"/>
      </c:scatterChart>
      <c:valAx>
        <c:axId val="337600376"/>
        <c:scaling>
          <c:orientation val="minMax"/>
          <c:min val="1.0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Circuity</a:t>
                </a:r>
              </a:p>
            </c:rich>
          </c:tx>
        </c:title>
        <c:numFmt formatCode="General" sourceLinked="1"/>
        <c:tickLblPos val="nextTo"/>
        <c:crossAx val="337579736"/>
        <c:crosses val="autoZero"/>
        <c:crossBetween val="midCat"/>
      </c:valAx>
      <c:valAx>
        <c:axId val="337579736"/>
        <c:scaling>
          <c:orientation val="minMax"/>
          <c:min val="0.0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DVKT per capita</a:t>
                </a:r>
              </a:p>
            </c:rich>
          </c:tx>
        </c:title>
        <c:numFmt formatCode="General" sourceLinked="1"/>
        <c:tickLblPos val="nextTo"/>
        <c:crossAx val="337600376"/>
        <c:crosses val="autoZero"/>
        <c:crossBetween val="midCat"/>
      </c:valAx>
    </c:plotArea>
    <c:plotVisOnly val="1"/>
  </c:char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US"/>
  <c:style val="12"/>
  <c:chart>
    <c:title>
      <c:tx>
        <c:rich>
          <a:bodyPr/>
          <a:lstStyle/>
          <a:p>
            <a:pPr>
              <a:defRPr/>
            </a:pPr>
            <a:r>
              <a:rPr lang="en-US"/>
              <a:t>DVKT per capita vs. Entropy measure</a:t>
            </a:r>
          </a:p>
        </c:rich>
      </c:tx>
    </c:title>
    <c:plotArea>
      <c:layout/>
      <c:scatterChart>
        <c:scatterStyle val="lineMarker"/>
        <c:ser>
          <c:idx val="0"/>
          <c:order val="0"/>
          <c:tx>
            <c:strRef>
              <c:f>StataData!$BI$1</c:f>
              <c:strCache>
                <c:ptCount val="1"/>
                <c:pt idx="0">
                  <c:v>avg_tt</c:v>
                </c:pt>
              </c:strCache>
            </c:strRef>
          </c:tx>
          <c:spPr>
            <a:ln w="47625">
              <a:noFill/>
            </a:ln>
          </c:spPr>
          <c:marker>
            <c:symbol val="circle"/>
            <c:size val="6"/>
          </c:marker>
          <c:trendline>
            <c:trendlineType val="linear"/>
            <c:dispRSqr val="1"/>
            <c:dispEq val="1"/>
            <c:trendlineLbl>
              <c:layout>
                <c:manualLayout>
                  <c:x val="0.0430160396617089"/>
                  <c:y val="0.0883782441447814"/>
                </c:manualLayout>
              </c:layout>
              <c:numFmt formatCode="General" sourceLinked="0"/>
            </c:trendlineLbl>
          </c:trendline>
          <c:xVal>
            <c:numRef>
              <c:f>StataData!$AE$2:$AE$185</c:f>
              <c:numCache>
                <c:formatCode>General</c:formatCode>
                <c:ptCount val="184"/>
                <c:pt idx="0">
                  <c:v>0.54</c:v>
                </c:pt>
                <c:pt idx="1">
                  <c:v>0.07</c:v>
                </c:pt>
                <c:pt idx="2">
                  <c:v>0.67</c:v>
                </c:pt>
                <c:pt idx="3">
                  <c:v>0.35</c:v>
                </c:pt>
                <c:pt idx="4">
                  <c:v>0.98</c:v>
                </c:pt>
                <c:pt idx="5">
                  <c:v>0.61</c:v>
                </c:pt>
                <c:pt idx="6">
                  <c:v>0.27</c:v>
                </c:pt>
                <c:pt idx="7">
                  <c:v>0.39</c:v>
                </c:pt>
                <c:pt idx="8">
                  <c:v>0.56</c:v>
                </c:pt>
                <c:pt idx="9">
                  <c:v>0.97</c:v>
                </c:pt>
                <c:pt idx="10">
                  <c:v>0.0</c:v>
                </c:pt>
                <c:pt idx="11">
                  <c:v>0.0</c:v>
                </c:pt>
                <c:pt idx="12">
                  <c:v>0.45</c:v>
                </c:pt>
                <c:pt idx="13">
                  <c:v>0.96</c:v>
                </c:pt>
                <c:pt idx="14">
                  <c:v>0.4</c:v>
                </c:pt>
                <c:pt idx="15">
                  <c:v>0.73</c:v>
                </c:pt>
                <c:pt idx="16">
                  <c:v>0.36</c:v>
                </c:pt>
                <c:pt idx="17">
                  <c:v>0.57</c:v>
                </c:pt>
                <c:pt idx="18">
                  <c:v>0.68</c:v>
                </c:pt>
                <c:pt idx="19">
                  <c:v>1.02</c:v>
                </c:pt>
                <c:pt idx="20">
                  <c:v>0.74</c:v>
                </c:pt>
                <c:pt idx="21">
                  <c:v>0.83</c:v>
                </c:pt>
                <c:pt idx="22">
                  <c:v>0.55</c:v>
                </c:pt>
                <c:pt idx="23">
                  <c:v>0.3</c:v>
                </c:pt>
                <c:pt idx="24">
                  <c:v>0.18</c:v>
                </c:pt>
                <c:pt idx="25">
                  <c:v>0.77</c:v>
                </c:pt>
                <c:pt idx="26">
                  <c:v>0.63</c:v>
                </c:pt>
                <c:pt idx="27">
                  <c:v>0.0</c:v>
                </c:pt>
                <c:pt idx="28">
                  <c:v>0.87</c:v>
                </c:pt>
                <c:pt idx="29">
                  <c:v>0.61</c:v>
                </c:pt>
                <c:pt idx="30">
                  <c:v>0.23</c:v>
                </c:pt>
                <c:pt idx="31">
                  <c:v>0.42</c:v>
                </c:pt>
                <c:pt idx="32">
                  <c:v>0.15</c:v>
                </c:pt>
                <c:pt idx="33">
                  <c:v>0.67</c:v>
                </c:pt>
                <c:pt idx="34">
                  <c:v>0.0</c:v>
                </c:pt>
                <c:pt idx="35">
                  <c:v>0.16</c:v>
                </c:pt>
                <c:pt idx="36">
                  <c:v>0.96</c:v>
                </c:pt>
                <c:pt idx="37">
                  <c:v>0.13</c:v>
                </c:pt>
                <c:pt idx="38">
                  <c:v>0.07</c:v>
                </c:pt>
                <c:pt idx="39">
                  <c:v>0.45</c:v>
                </c:pt>
                <c:pt idx="40">
                  <c:v>0.9</c:v>
                </c:pt>
                <c:pt idx="41">
                  <c:v>0.52</c:v>
                </c:pt>
                <c:pt idx="42">
                  <c:v>0.67</c:v>
                </c:pt>
                <c:pt idx="43">
                  <c:v>0.33</c:v>
                </c:pt>
                <c:pt idx="44">
                  <c:v>0.78</c:v>
                </c:pt>
                <c:pt idx="45">
                  <c:v>0.52</c:v>
                </c:pt>
                <c:pt idx="46">
                  <c:v>0.0</c:v>
                </c:pt>
                <c:pt idx="47">
                  <c:v>0.83</c:v>
                </c:pt>
                <c:pt idx="48">
                  <c:v>0.38</c:v>
                </c:pt>
                <c:pt idx="49">
                  <c:v>0.33</c:v>
                </c:pt>
                <c:pt idx="50">
                  <c:v>0.38</c:v>
                </c:pt>
                <c:pt idx="51">
                  <c:v>0.21</c:v>
                </c:pt>
                <c:pt idx="52">
                  <c:v>0.92</c:v>
                </c:pt>
                <c:pt idx="53">
                  <c:v>0.6</c:v>
                </c:pt>
                <c:pt idx="54">
                  <c:v>0.6</c:v>
                </c:pt>
                <c:pt idx="55">
                  <c:v>0.75</c:v>
                </c:pt>
                <c:pt idx="56">
                  <c:v>0.29</c:v>
                </c:pt>
                <c:pt idx="57">
                  <c:v>0.54</c:v>
                </c:pt>
                <c:pt idx="58">
                  <c:v>0.42</c:v>
                </c:pt>
                <c:pt idx="59">
                  <c:v>0.28</c:v>
                </c:pt>
                <c:pt idx="60">
                  <c:v>0.0</c:v>
                </c:pt>
                <c:pt idx="61">
                  <c:v>0.25</c:v>
                </c:pt>
                <c:pt idx="62">
                  <c:v>0.13</c:v>
                </c:pt>
                <c:pt idx="63">
                  <c:v>1.02</c:v>
                </c:pt>
                <c:pt idx="64">
                  <c:v>1.07</c:v>
                </c:pt>
                <c:pt idx="65">
                  <c:v>0.61</c:v>
                </c:pt>
                <c:pt idx="66">
                  <c:v>0.0</c:v>
                </c:pt>
                <c:pt idx="67">
                  <c:v>0.13</c:v>
                </c:pt>
                <c:pt idx="68">
                  <c:v>0.37</c:v>
                </c:pt>
                <c:pt idx="69">
                  <c:v>0.36</c:v>
                </c:pt>
                <c:pt idx="70">
                  <c:v>0.75</c:v>
                </c:pt>
                <c:pt idx="71">
                  <c:v>0.9</c:v>
                </c:pt>
                <c:pt idx="72">
                  <c:v>0.49</c:v>
                </c:pt>
                <c:pt idx="73">
                  <c:v>0.31</c:v>
                </c:pt>
                <c:pt idx="74">
                  <c:v>0.56</c:v>
                </c:pt>
                <c:pt idx="75">
                  <c:v>0.83</c:v>
                </c:pt>
                <c:pt idx="76">
                  <c:v>0.94</c:v>
                </c:pt>
                <c:pt idx="77">
                  <c:v>0.22</c:v>
                </c:pt>
                <c:pt idx="78">
                  <c:v>0.74</c:v>
                </c:pt>
                <c:pt idx="79">
                  <c:v>0.47</c:v>
                </c:pt>
                <c:pt idx="80">
                  <c:v>1.24</c:v>
                </c:pt>
                <c:pt idx="81">
                  <c:v>0.66</c:v>
                </c:pt>
                <c:pt idx="82">
                  <c:v>0.82</c:v>
                </c:pt>
                <c:pt idx="83">
                  <c:v>0.29</c:v>
                </c:pt>
                <c:pt idx="84">
                  <c:v>0.6</c:v>
                </c:pt>
                <c:pt idx="85">
                  <c:v>0.38</c:v>
                </c:pt>
                <c:pt idx="86">
                  <c:v>0.29</c:v>
                </c:pt>
                <c:pt idx="87">
                  <c:v>0.47</c:v>
                </c:pt>
                <c:pt idx="88">
                  <c:v>0.0</c:v>
                </c:pt>
                <c:pt idx="89">
                  <c:v>1.04</c:v>
                </c:pt>
                <c:pt idx="90">
                  <c:v>0.79</c:v>
                </c:pt>
                <c:pt idx="91">
                  <c:v>0.0</c:v>
                </c:pt>
                <c:pt idx="92">
                  <c:v>0.44</c:v>
                </c:pt>
                <c:pt idx="93">
                  <c:v>0.32</c:v>
                </c:pt>
                <c:pt idx="94">
                  <c:v>0.43</c:v>
                </c:pt>
                <c:pt idx="95">
                  <c:v>0.81</c:v>
                </c:pt>
                <c:pt idx="96">
                  <c:v>0.74</c:v>
                </c:pt>
                <c:pt idx="97">
                  <c:v>0.89</c:v>
                </c:pt>
                <c:pt idx="98">
                  <c:v>0.65</c:v>
                </c:pt>
                <c:pt idx="99">
                  <c:v>0.31</c:v>
                </c:pt>
                <c:pt idx="100">
                  <c:v>0.93</c:v>
                </c:pt>
                <c:pt idx="101">
                  <c:v>0.0</c:v>
                </c:pt>
                <c:pt idx="102">
                  <c:v>0.9</c:v>
                </c:pt>
                <c:pt idx="103">
                  <c:v>1.16</c:v>
                </c:pt>
                <c:pt idx="104">
                  <c:v>1.16</c:v>
                </c:pt>
                <c:pt idx="105">
                  <c:v>1.49</c:v>
                </c:pt>
                <c:pt idx="106">
                  <c:v>0.53</c:v>
                </c:pt>
                <c:pt idx="107">
                  <c:v>0.12</c:v>
                </c:pt>
                <c:pt idx="108">
                  <c:v>0.66</c:v>
                </c:pt>
                <c:pt idx="109">
                  <c:v>0.47</c:v>
                </c:pt>
                <c:pt idx="110">
                  <c:v>0.0</c:v>
                </c:pt>
                <c:pt idx="111">
                  <c:v>0.67</c:v>
                </c:pt>
                <c:pt idx="112">
                  <c:v>0.51</c:v>
                </c:pt>
                <c:pt idx="113">
                  <c:v>0.23</c:v>
                </c:pt>
                <c:pt idx="114">
                  <c:v>0.49</c:v>
                </c:pt>
                <c:pt idx="115">
                  <c:v>0.0</c:v>
                </c:pt>
                <c:pt idx="116">
                  <c:v>0.42</c:v>
                </c:pt>
                <c:pt idx="117">
                  <c:v>0.37</c:v>
                </c:pt>
                <c:pt idx="118">
                  <c:v>0.5</c:v>
                </c:pt>
                <c:pt idx="119">
                  <c:v>0.0</c:v>
                </c:pt>
                <c:pt idx="120">
                  <c:v>0.87</c:v>
                </c:pt>
                <c:pt idx="121">
                  <c:v>0.74</c:v>
                </c:pt>
                <c:pt idx="122">
                  <c:v>0.02</c:v>
                </c:pt>
                <c:pt idx="123">
                  <c:v>0.39</c:v>
                </c:pt>
                <c:pt idx="124">
                  <c:v>0.0</c:v>
                </c:pt>
                <c:pt idx="125">
                  <c:v>0.48</c:v>
                </c:pt>
                <c:pt idx="126">
                  <c:v>0.1</c:v>
                </c:pt>
                <c:pt idx="127">
                  <c:v>0.79</c:v>
                </c:pt>
                <c:pt idx="128">
                  <c:v>0.74</c:v>
                </c:pt>
                <c:pt idx="129">
                  <c:v>0.6</c:v>
                </c:pt>
                <c:pt idx="130">
                  <c:v>0.62</c:v>
                </c:pt>
                <c:pt idx="131">
                  <c:v>1.43</c:v>
                </c:pt>
                <c:pt idx="132">
                  <c:v>0.59</c:v>
                </c:pt>
                <c:pt idx="133">
                  <c:v>0.31</c:v>
                </c:pt>
                <c:pt idx="134">
                  <c:v>0.44</c:v>
                </c:pt>
                <c:pt idx="135">
                  <c:v>0.7</c:v>
                </c:pt>
                <c:pt idx="136">
                  <c:v>0.68</c:v>
                </c:pt>
                <c:pt idx="137">
                  <c:v>0.33</c:v>
                </c:pt>
                <c:pt idx="138">
                  <c:v>0.52</c:v>
                </c:pt>
                <c:pt idx="139">
                  <c:v>0.29</c:v>
                </c:pt>
                <c:pt idx="140">
                  <c:v>0.64</c:v>
                </c:pt>
                <c:pt idx="141">
                  <c:v>0.56</c:v>
                </c:pt>
                <c:pt idx="142">
                  <c:v>0.88</c:v>
                </c:pt>
                <c:pt idx="143">
                  <c:v>0.74</c:v>
                </c:pt>
                <c:pt idx="144">
                  <c:v>0.69</c:v>
                </c:pt>
                <c:pt idx="145">
                  <c:v>0.26</c:v>
                </c:pt>
                <c:pt idx="146">
                  <c:v>0.5</c:v>
                </c:pt>
                <c:pt idx="147">
                  <c:v>0.59</c:v>
                </c:pt>
                <c:pt idx="148">
                  <c:v>0.6</c:v>
                </c:pt>
                <c:pt idx="149">
                  <c:v>0.28</c:v>
                </c:pt>
                <c:pt idx="150">
                  <c:v>0.32</c:v>
                </c:pt>
                <c:pt idx="151">
                  <c:v>0.49</c:v>
                </c:pt>
                <c:pt idx="152">
                  <c:v>0.76</c:v>
                </c:pt>
                <c:pt idx="153">
                  <c:v>0.38</c:v>
                </c:pt>
                <c:pt idx="154">
                  <c:v>0.28</c:v>
                </c:pt>
                <c:pt idx="155">
                  <c:v>0.0</c:v>
                </c:pt>
                <c:pt idx="156">
                  <c:v>1.24</c:v>
                </c:pt>
                <c:pt idx="157">
                  <c:v>0.19</c:v>
                </c:pt>
                <c:pt idx="158">
                  <c:v>0.74</c:v>
                </c:pt>
                <c:pt idx="159">
                  <c:v>0.75</c:v>
                </c:pt>
                <c:pt idx="160">
                  <c:v>0.0</c:v>
                </c:pt>
                <c:pt idx="161">
                  <c:v>0.49</c:v>
                </c:pt>
                <c:pt idx="162">
                  <c:v>0.16</c:v>
                </c:pt>
                <c:pt idx="163">
                  <c:v>0.51</c:v>
                </c:pt>
                <c:pt idx="164">
                  <c:v>1.16</c:v>
                </c:pt>
                <c:pt idx="165">
                  <c:v>0.0</c:v>
                </c:pt>
                <c:pt idx="166">
                  <c:v>0.93</c:v>
                </c:pt>
                <c:pt idx="167">
                  <c:v>0.11</c:v>
                </c:pt>
                <c:pt idx="168">
                  <c:v>0.45</c:v>
                </c:pt>
                <c:pt idx="169">
                  <c:v>0.85</c:v>
                </c:pt>
                <c:pt idx="170">
                  <c:v>0.46</c:v>
                </c:pt>
                <c:pt idx="171">
                  <c:v>1.07</c:v>
                </c:pt>
                <c:pt idx="172">
                  <c:v>0.68</c:v>
                </c:pt>
                <c:pt idx="173">
                  <c:v>0.75</c:v>
                </c:pt>
                <c:pt idx="174">
                  <c:v>1.22</c:v>
                </c:pt>
                <c:pt idx="175">
                  <c:v>1.0</c:v>
                </c:pt>
                <c:pt idx="176">
                  <c:v>0.56</c:v>
                </c:pt>
                <c:pt idx="177">
                  <c:v>0.49</c:v>
                </c:pt>
                <c:pt idx="178">
                  <c:v>0.57</c:v>
                </c:pt>
                <c:pt idx="179">
                  <c:v>0.42</c:v>
                </c:pt>
                <c:pt idx="180">
                  <c:v>0.0</c:v>
                </c:pt>
                <c:pt idx="181">
                  <c:v>0.43</c:v>
                </c:pt>
                <c:pt idx="182">
                  <c:v>0.0</c:v>
                </c:pt>
                <c:pt idx="183">
                  <c:v>1.18</c:v>
                </c:pt>
              </c:numCache>
            </c:numRef>
          </c:xVal>
          <c:yVal>
            <c:numRef>
              <c:f>StataData!$BF$2:$BF$185</c:f>
              <c:numCache>
                <c:formatCode>General</c:formatCode>
                <c:ptCount val="184"/>
                <c:pt idx="0">
                  <c:v>111.0</c:v>
                </c:pt>
                <c:pt idx="1">
                  <c:v>25.0</c:v>
                </c:pt>
                <c:pt idx="2">
                  <c:v>36.0</c:v>
                </c:pt>
                <c:pt idx="3">
                  <c:v>28.0</c:v>
                </c:pt>
                <c:pt idx="4">
                  <c:v>152.0</c:v>
                </c:pt>
                <c:pt idx="5">
                  <c:v>19.0</c:v>
                </c:pt>
                <c:pt idx="6">
                  <c:v>41.0</c:v>
                </c:pt>
                <c:pt idx="7">
                  <c:v>27.0</c:v>
                </c:pt>
                <c:pt idx="8">
                  <c:v>40.0</c:v>
                </c:pt>
                <c:pt idx="9">
                  <c:v>140.0</c:v>
                </c:pt>
                <c:pt idx="10">
                  <c:v>14.0</c:v>
                </c:pt>
                <c:pt idx="11">
                  <c:v>6.0</c:v>
                </c:pt>
                <c:pt idx="12">
                  <c:v>45.0</c:v>
                </c:pt>
                <c:pt idx="13">
                  <c:v>356.0</c:v>
                </c:pt>
                <c:pt idx="14">
                  <c:v>60.0</c:v>
                </c:pt>
                <c:pt idx="15">
                  <c:v>71.0</c:v>
                </c:pt>
                <c:pt idx="16">
                  <c:v>38.0</c:v>
                </c:pt>
                <c:pt idx="17">
                  <c:v>40.0</c:v>
                </c:pt>
                <c:pt idx="18">
                  <c:v>41.0</c:v>
                </c:pt>
                <c:pt idx="19">
                  <c:v>45.0</c:v>
                </c:pt>
                <c:pt idx="20">
                  <c:v>38.0</c:v>
                </c:pt>
                <c:pt idx="21">
                  <c:v>40.0</c:v>
                </c:pt>
                <c:pt idx="22">
                  <c:v>67.0</c:v>
                </c:pt>
                <c:pt idx="23">
                  <c:v>12.0</c:v>
                </c:pt>
                <c:pt idx="24">
                  <c:v>18.0</c:v>
                </c:pt>
                <c:pt idx="25">
                  <c:v>40.0</c:v>
                </c:pt>
                <c:pt idx="26">
                  <c:v>31.0</c:v>
                </c:pt>
                <c:pt idx="27">
                  <c:v>14.0</c:v>
                </c:pt>
                <c:pt idx="28">
                  <c:v>402.0</c:v>
                </c:pt>
                <c:pt idx="29">
                  <c:v>18.0</c:v>
                </c:pt>
                <c:pt idx="30">
                  <c:v>14.0</c:v>
                </c:pt>
                <c:pt idx="31">
                  <c:v>37.0</c:v>
                </c:pt>
                <c:pt idx="32">
                  <c:v>50.0</c:v>
                </c:pt>
                <c:pt idx="33">
                  <c:v>27.0</c:v>
                </c:pt>
                <c:pt idx="34">
                  <c:v>41.0</c:v>
                </c:pt>
                <c:pt idx="35">
                  <c:v>17.0</c:v>
                </c:pt>
                <c:pt idx="36">
                  <c:v>89.0</c:v>
                </c:pt>
                <c:pt idx="37">
                  <c:v>66.0</c:v>
                </c:pt>
                <c:pt idx="38">
                  <c:v>6.0</c:v>
                </c:pt>
                <c:pt idx="39">
                  <c:v>34.0</c:v>
                </c:pt>
                <c:pt idx="40">
                  <c:v>128.0</c:v>
                </c:pt>
                <c:pt idx="41">
                  <c:v>119.0</c:v>
                </c:pt>
                <c:pt idx="42">
                  <c:v>49.0</c:v>
                </c:pt>
                <c:pt idx="43">
                  <c:v>47.0</c:v>
                </c:pt>
                <c:pt idx="44">
                  <c:v>44.0</c:v>
                </c:pt>
                <c:pt idx="45">
                  <c:v>51.0</c:v>
                </c:pt>
                <c:pt idx="46">
                  <c:v>41.0</c:v>
                </c:pt>
                <c:pt idx="47">
                  <c:v>87.0</c:v>
                </c:pt>
                <c:pt idx="48">
                  <c:v>43.0</c:v>
                </c:pt>
                <c:pt idx="49">
                  <c:v>30.0</c:v>
                </c:pt>
                <c:pt idx="50">
                  <c:v>27.0</c:v>
                </c:pt>
                <c:pt idx="51">
                  <c:v>17.0</c:v>
                </c:pt>
                <c:pt idx="52">
                  <c:v>55.0</c:v>
                </c:pt>
                <c:pt idx="53">
                  <c:v>57.0</c:v>
                </c:pt>
                <c:pt idx="54">
                  <c:v>98.0</c:v>
                </c:pt>
                <c:pt idx="55">
                  <c:v>88.0</c:v>
                </c:pt>
                <c:pt idx="56">
                  <c:v>49.0</c:v>
                </c:pt>
                <c:pt idx="57">
                  <c:v>73.0</c:v>
                </c:pt>
                <c:pt idx="58">
                  <c:v>89.0</c:v>
                </c:pt>
                <c:pt idx="59">
                  <c:v>6.0</c:v>
                </c:pt>
                <c:pt idx="60">
                  <c:v>27.0</c:v>
                </c:pt>
                <c:pt idx="61">
                  <c:v>48.0</c:v>
                </c:pt>
                <c:pt idx="62">
                  <c:v>7.0</c:v>
                </c:pt>
                <c:pt idx="63">
                  <c:v>135.0</c:v>
                </c:pt>
                <c:pt idx="64">
                  <c:v>278.0</c:v>
                </c:pt>
                <c:pt idx="65">
                  <c:v>45.0</c:v>
                </c:pt>
                <c:pt idx="66">
                  <c:v>69.0</c:v>
                </c:pt>
                <c:pt idx="67">
                  <c:v>133.0</c:v>
                </c:pt>
                <c:pt idx="68">
                  <c:v>22.0</c:v>
                </c:pt>
                <c:pt idx="69">
                  <c:v>64.0</c:v>
                </c:pt>
                <c:pt idx="70">
                  <c:v>4.0</c:v>
                </c:pt>
                <c:pt idx="71">
                  <c:v>110.0</c:v>
                </c:pt>
                <c:pt idx="72">
                  <c:v>33.0</c:v>
                </c:pt>
                <c:pt idx="73">
                  <c:v>39.0</c:v>
                </c:pt>
                <c:pt idx="74">
                  <c:v>82.0</c:v>
                </c:pt>
                <c:pt idx="75">
                  <c:v>52.0</c:v>
                </c:pt>
                <c:pt idx="76">
                  <c:v>108.0</c:v>
                </c:pt>
                <c:pt idx="77">
                  <c:v>22.0</c:v>
                </c:pt>
                <c:pt idx="78">
                  <c:v>88.0</c:v>
                </c:pt>
                <c:pt idx="79">
                  <c:v>15.0</c:v>
                </c:pt>
                <c:pt idx="80">
                  <c:v>87.0</c:v>
                </c:pt>
                <c:pt idx="81">
                  <c:v>7.0</c:v>
                </c:pt>
                <c:pt idx="82">
                  <c:v>81.0</c:v>
                </c:pt>
                <c:pt idx="83">
                  <c:v>34.0</c:v>
                </c:pt>
                <c:pt idx="84">
                  <c:v>3.0</c:v>
                </c:pt>
                <c:pt idx="85">
                  <c:v>37.0</c:v>
                </c:pt>
                <c:pt idx="86">
                  <c:v>16.0</c:v>
                </c:pt>
                <c:pt idx="87">
                  <c:v>69.0</c:v>
                </c:pt>
                <c:pt idx="88">
                  <c:v>25.0</c:v>
                </c:pt>
                <c:pt idx="89">
                  <c:v>112.0</c:v>
                </c:pt>
                <c:pt idx="90">
                  <c:v>62.0</c:v>
                </c:pt>
                <c:pt idx="91">
                  <c:v>12.0</c:v>
                </c:pt>
                <c:pt idx="92">
                  <c:v>137.0</c:v>
                </c:pt>
                <c:pt idx="93">
                  <c:v>16.0</c:v>
                </c:pt>
                <c:pt idx="94">
                  <c:v>49.0</c:v>
                </c:pt>
                <c:pt idx="95">
                  <c:v>27.0</c:v>
                </c:pt>
                <c:pt idx="96">
                  <c:v>44.0</c:v>
                </c:pt>
                <c:pt idx="97">
                  <c:v>48.0</c:v>
                </c:pt>
                <c:pt idx="98">
                  <c:v>122.0</c:v>
                </c:pt>
                <c:pt idx="99">
                  <c:v>41.0</c:v>
                </c:pt>
                <c:pt idx="100">
                  <c:v>12.0</c:v>
                </c:pt>
                <c:pt idx="101">
                  <c:v>4.0</c:v>
                </c:pt>
                <c:pt idx="102">
                  <c:v>84.0</c:v>
                </c:pt>
                <c:pt idx="103">
                  <c:v>43.0</c:v>
                </c:pt>
                <c:pt idx="104">
                  <c:v>106.0</c:v>
                </c:pt>
                <c:pt idx="105">
                  <c:v>140.0</c:v>
                </c:pt>
                <c:pt idx="106">
                  <c:v>29.0</c:v>
                </c:pt>
                <c:pt idx="107">
                  <c:v>84.0</c:v>
                </c:pt>
                <c:pt idx="108">
                  <c:v>60.0</c:v>
                </c:pt>
                <c:pt idx="109">
                  <c:v>55.0</c:v>
                </c:pt>
                <c:pt idx="110">
                  <c:v>12.0</c:v>
                </c:pt>
                <c:pt idx="111">
                  <c:v>27.0</c:v>
                </c:pt>
                <c:pt idx="112">
                  <c:v>44.0</c:v>
                </c:pt>
                <c:pt idx="113">
                  <c:v>18.0</c:v>
                </c:pt>
                <c:pt idx="114">
                  <c:v>15.0</c:v>
                </c:pt>
                <c:pt idx="115">
                  <c:v>22.0</c:v>
                </c:pt>
                <c:pt idx="116">
                  <c:v>154.0</c:v>
                </c:pt>
                <c:pt idx="117">
                  <c:v>11.0</c:v>
                </c:pt>
                <c:pt idx="118">
                  <c:v>50.0</c:v>
                </c:pt>
                <c:pt idx="119">
                  <c:v>40.0</c:v>
                </c:pt>
                <c:pt idx="120">
                  <c:v>118.0</c:v>
                </c:pt>
                <c:pt idx="121">
                  <c:v>123.0</c:v>
                </c:pt>
                <c:pt idx="122">
                  <c:v>28.0</c:v>
                </c:pt>
                <c:pt idx="123">
                  <c:v>24.0</c:v>
                </c:pt>
                <c:pt idx="124">
                  <c:v>11.0</c:v>
                </c:pt>
                <c:pt idx="125">
                  <c:v>13.0</c:v>
                </c:pt>
                <c:pt idx="126">
                  <c:v>38.0</c:v>
                </c:pt>
                <c:pt idx="127">
                  <c:v>36.0</c:v>
                </c:pt>
                <c:pt idx="128">
                  <c:v>41.0</c:v>
                </c:pt>
                <c:pt idx="129">
                  <c:v>77.0</c:v>
                </c:pt>
                <c:pt idx="130">
                  <c:v>45.0</c:v>
                </c:pt>
                <c:pt idx="131">
                  <c:v>293.0</c:v>
                </c:pt>
                <c:pt idx="132">
                  <c:v>52.0</c:v>
                </c:pt>
                <c:pt idx="133">
                  <c:v>25.0</c:v>
                </c:pt>
                <c:pt idx="134">
                  <c:v>40.0</c:v>
                </c:pt>
                <c:pt idx="135">
                  <c:v>18.0</c:v>
                </c:pt>
                <c:pt idx="136">
                  <c:v>180.0</c:v>
                </c:pt>
                <c:pt idx="137">
                  <c:v>36.0</c:v>
                </c:pt>
                <c:pt idx="138">
                  <c:v>56.0</c:v>
                </c:pt>
                <c:pt idx="139">
                  <c:v>23.0</c:v>
                </c:pt>
                <c:pt idx="140">
                  <c:v>89.0</c:v>
                </c:pt>
                <c:pt idx="141">
                  <c:v>147.0</c:v>
                </c:pt>
                <c:pt idx="142">
                  <c:v>44.0</c:v>
                </c:pt>
                <c:pt idx="143">
                  <c:v>63.0</c:v>
                </c:pt>
                <c:pt idx="144">
                  <c:v>24.0</c:v>
                </c:pt>
                <c:pt idx="145">
                  <c:v>150.0</c:v>
                </c:pt>
                <c:pt idx="146">
                  <c:v>37.0</c:v>
                </c:pt>
                <c:pt idx="147">
                  <c:v>85.0</c:v>
                </c:pt>
                <c:pt idx="148">
                  <c:v>60.0</c:v>
                </c:pt>
                <c:pt idx="149">
                  <c:v>41.0</c:v>
                </c:pt>
                <c:pt idx="150">
                  <c:v>3.0</c:v>
                </c:pt>
                <c:pt idx="151">
                  <c:v>29.0</c:v>
                </c:pt>
                <c:pt idx="152">
                  <c:v>30.0</c:v>
                </c:pt>
                <c:pt idx="153">
                  <c:v>45.0</c:v>
                </c:pt>
                <c:pt idx="154">
                  <c:v>23.0</c:v>
                </c:pt>
                <c:pt idx="155">
                  <c:v>19.0</c:v>
                </c:pt>
                <c:pt idx="156">
                  <c:v>18.0</c:v>
                </c:pt>
                <c:pt idx="157">
                  <c:v>24.0</c:v>
                </c:pt>
                <c:pt idx="158">
                  <c:v>358.0</c:v>
                </c:pt>
                <c:pt idx="159">
                  <c:v>43.0</c:v>
                </c:pt>
                <c:pt idx="160">
                  <c:v>13.0</c:v>
                </c:pt>
                <c:pt idx="161">
                  <c:v>31.0</c:v>
                </c:pt>
                <c:pt idx="162">
                  <c:v>15.0</c:v>
                </c:pt>
                <c:pt idx="163">
                  <c:v>37.0</c:v>
                </c:pt>
                <c:pt idx="164">
                  <c:v>443.0</c:v>
                </c:pt>
                <c:pt idx="165">
                  <c:v>34.0</c:v>
                </c:pt>
                <c:pt idx="166">
                  <c:v>84.0</c:v>
                </c:pt>
                <c:pt idx="167">
                  <c:v>22.0</c:v>
                </c:pt>
                <c:pt idx="168">
                  <c:v>231.0</c:v>
                </c:pt>
                <c:pt idx="169">
                  <c:v>48.0</c:v>
                </c:pt>
                <c:pt idx="170">
                  <c:v>17.0</c:v>
                </c:pt>
                <c:pt idx="171">
                  <c:v>103.0</c:v>
                </c:pt>
                <c:pt idx="172">
                  <c:v>176.0</c:v>
                </c:pt>
                <c:pt idx="173">
                  <c:v>16.0</c:v>
                </c:pt>
                <c:pt idx="174">
                  <c:v>123.0</c:v>
                </c:pt>
                <c:pt idx="175">
                  <c:v>96.0</c:v>
                </c:pt>
                <c:pt idx="176">
                  <c:v>94.0</c:v>
                </c:pt>
                <c:pt idx="177">
                  <c:v>25.0</c:v>
                </c:pt>
                <c:pt idx="178">
                  <c:v>42.0</c:v>
                </c:pt>
                <c:pt idx="179">
                  <c:v>32.0</c:v>
                </c:pt>
                <c:pt idx="180">
                  <c:v>14.0</c:v>
                </c:pt>
                <c:pt idx="181">
                  <c:v>44.0</c:v>
                </c:pt>
                <c:pt idx="182">
                  <c:v>10.0</c:v>
                </c:pt>
                <c:pt idx="183">
                  <c:v>179.0</c:v>
                </c:pt>
              </c:numCache>
            </c:numRef>
          </c:yVal>
        </c:ser>
        <c:axId val="337542088"/>
        <c:axId val="337538584"/>
      </c:scatterChart>
      <c:valAx>
        <c:axId val="337542088"/>
        <c:scaling>
          <c:orientation val="minMax"/>
          <c:min val="0.0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Entropy</a:t>
                </a:r>
              </a:p>
            </c:rich>
          </c:tx>
        </c:title>
        <c:numFmt formatCode="General" sourceLinked="1"/>
        <c:tickLblPos val="nextTo"/>
        <c:crossAx val="337538584"/>
        <c:crosses val="autoZero"/>
        <c:crossBetween val="midCat"/>
      </c:valAx>
      <c:valAx>
        <c:axId val="337538584"/>
        <c:scaling>
          <c:orientation val="minMax"/>
          <c:min val="0.0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DVKT per capita</a:t>
                </a:r>
              </a:p>
            </c:rich>
          </c:tx>
        </c:title>
        <c:numFmt formatCode="General" sourceLinked="1"/>
        <c:tickLblPos val="nextTo"/>
        <c:crossAx val="337542088"/>
        <c:crosses val="autoZero"/>
        <c:crossBetween val="midCat"/>
      </c:valAx>
    </c:plotArea>
    <c:plotVisOnly val="1"/>
  </c:char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US"/>
  <c:style val="12"/>
  <c:chart>
    <c:title>
      <c:tx>
        <c:rich>
          <a:bodyPr/>
          <a:lstStyle/>
          <a:p>
            <a:pPr>
              <a:defRPr/>
            </a:pPr>
            <a:r>
              <a:rPr lang="en-US"/>
              <a:t>Alpha vs. Eta</a:t>
            </a:r>
          </a:p>
        </c:rich>
      </c:tx>
    </c:title>
    <c:plotArea>
      <c:layout/>
      <c:scatterChart>
        <c:scatterStyle val="lineMarker"/>
        <c:ser>
          <c:idx val="0"/>
          <c:order val="0"/>
          <c:tx>
            <c:strRef>
              <c:f>StataData!$BI$1</c:f>
              <c:strCache>
                <c:ptCount val="1"/>
                <c:pt idx="0">
                  <c:v>avg_tt</c:v>
                </c:pt>
              </c:strCache>
            </c:strRef>
          </c:tx>
          <c:spPr>
            <a:ln w="47625">
              <a:noFill/>
            </a:ln>
          </c:spPr>
          <c:marker>
            <c:symbol val="circle"/>
            <c:size val="6"/>
          </c:marker>
          <c:trendline>
            <c:trendlineType val="log"/>
            <c:dispRSqr val="1"/>
            <c:dispEq val="1"/>
            <c:trendlineLbl>
              <c:layout>
                <c:manualLayout>
                  <c:x val="-0.181798891805191"/>
                  <c:y val="-0.0040150610745919"/>
                </c:manualLayout>
              </c:layout>
              <c:numFmt formatCode="General" sourceLinked="0"/>
            </c:trendlineLbl>
          </c:trendline>
          <c:xVal>
            <c:numRef>
              <c:f>StataData!$U$2:$U$185</c:f>
              <c:numCache>
                <c:formatCode>General</c:formatCode>
                <c:ptCount val="184"/>
                <c:pt idx="0">
                  <c:v>0.4899587</c:v>
                </c:pt>
                <c:pt idx="1">
                  <c:v>0.2482119</c:v>
                </c:pt>
                <c:pt idx="2">
                  <c:v>0.1619584</c:v>
                </c:pt>
                <c:pt idx="3">
                  <c:v>0.1633612</c:v>
                </c:pt>
                <c:pt idx="4">
                  <c:v>0.2579015</c:v>
                </c:pt>
                <c:pt idx="5">
                  <c:v>0.1677622</c:v>
                </c:pt>
                <c:pt idx="6">
                  <c:v>0.3830038</c:v>
                </c:pt>
                <c:pt idx="7">
                  <c:v>0.1629161</c:v>
                </c:pt>
                <c:pt idx="8">
                  <c:v>1.115361</c:v>
                </c:pt>
                <c:pt idx="9">
                  <c:v>0.6125904</c:v>
                </c:pt>
                <c:pt idx="10">
                  <c:v>0.222189</c:v>
                </c:pt>
                <c:pt idx="11">
                  <c:v>0.1395922</c:v>
                </c:pt>
                <c:pt idx="12">
                  <c:v>0.2013153</c:v>
                </c:pt>
                <c:pt idx="13">
                  <c:v>1.071265</c:v>
                </c:pt>
                <c:pt idx="14">
                  <c:v>0.1837195</c:v>
                </c:pt>
                <c:pt idx="15">
                  <c:v>0.1684254</c:v>
                </c:pt>
                <c:pt idx="16">
                  <c:v>0.1958085</c:v>
                </c:pt>
                <c:pt idx="17">
                  <c:v>0.5559053</c:v>
                </c:pt>
                <c:pt idx="18">
                  <c:v>0.1809707</c:v>
                </c:pt>
                <c:pt idx="19">
                  <c:v>0.5625877</c:v>
                </c:pt>
                <c:pt idx="20">
                  <c:v>0.2431433</c:v>
                </c:pt>
                <c:pt idx="21">
                  <c:v>0.4855933</c:v>
                </c:pt>
                <c:pt idx="22">
                  <c:v>0.9330833</c:v>
                </c:pt>
                <c:pt idx="23">
                  <c:v>0.1817937</c:v>
                </c:pt>
                <c:pt idx="24">
                  <c:v>0.1655755</c:v>
                </c:pt>
                <c:pt idx="25">
                  <c:v>0.1740896</c:v>
                </c:pt>
                <c:pt idx="26">
                  <c:v>0.1802262</c:v>
                </c:pt>
                <c:pt idx="27">
                  <c:v>0.1946684</c:v>
                </c:pt>
                <c:pt idx="28">
                  <c:v>0.5088247</c:v>
                </c:pt>
                <c:pt idx="29">
                  <c:v>0.1394471</c:v>
                </c:pt>
                <c:pt idx="30">
                  <c:v>0.1515709</c:v>
                </c:pt>
                <c:pt idx="31">
                  <c:v>0.1789792</c:v>
                </c:pt>
                <c:pt idx="32">
                  <c:v>0.5191128</c:v>
                </c:pt>
                <c:pt idx="33">
                  <c:v>0.2512944</c:v>
                </c:pt>
                <c:pt idx="34">
                  <c:v>0.4216298</c:v>
                </c:pt>
                <c:pt idx="35">
                  <c:v>0.1537863</c:v>
                </c:pt>
                <c:pt idx="36">
                  <c:v>0.5350335</c:v>
                </c:pt>
                <c:pt idx="37">
                  <c:v>0.4099774</c:v>
                </c:pt>
                <c:pt idx="38">
                  <c:v>0.1643192</c:v>
                </c:pt>
                <c:pt idx="39">
                  <c:v>0.3210091</c:v>
                </c:pt>
                <c:pt idx="40">
                  <c:v>0.8162213</c:v>
                </c:pt>
                <c:pt idx="41">
                  <c:v>1.086033</c:v>
                </c:pt>
                <c:pt idx="42">
                  <c:v>0.1797862</c:v>
                </c:pt>
                <c:pt idx="43">
                  <c:v>0.3825859</c:v>
                </c:pt>
                <c:pt idx="44">
                  <c:v>0.1924462</c:v>
                </c:pt>
                <c:pt idx="45">
                  <c:v>0.1674343</c:v>
                </c:pt>
                <c:pt idx="46">
                  <c:v>0.2702379</c:v>
                </c:pt>
                <c:pt idx="47">
                  <c:v>0.8238385</c:v>
                </c:pt>
                <c:pt idx="48">
                  <c:v>0.7469509</c:v>
                </c:pt>
                <c:pt idx="49">
                  <c:v>0.1208659</c:v>
                </c:pt>
                <c:pt idx="50">
                  <c:v>0.1780273</c:v>
                </c:pt>
                <c:pt idx="51">
                  <c:v>0.1972429</c:v>
                </c:pt>
                <c:pt idx="52">
                  <c:v>0.2725034</c:v>
                </c:pt>
                <c:pt idx="53">
                  <c:v>0.1748625</c:v>
                </c:pt>
                <c:pt idx="54">
                  <c:v>0.3728148</c:v>
                </c:pt>
                <c:pt idx="55">
                  <c:v>0.1721673</c:v>
                </c:pt>
                <c:pt idx="56">
                  <c:v>0.5320497</c:v>
                </c:pt>
                <c:pt idx="57">
                  <c:v>0.5066936</c:v>
                </c:pt>
                <c:pt idx="58">
                  <c:v>0.9711087</c:v>
                </c:pt>
                <c:pt idx="59">
                  <c:v>0.1656089</c:v>
                </c:pt>
                <c:pt idx="60">
                  <c:v>0.6870254</c:v>
                </c:pt>
                <c:pt idx="61">
                  <c:v>0.285971</c:v>
                </c:pt>
                <c:pt idx="62">
                  <c:v>0.1390882</c:v>
                </c:pt>
                <c:pt idx="63">
                  <c:v>0.2429998</c:v>
                </c:pt>
                <c:pt idx="64">
                  <c:v>0.6681179</c:v>
                </c:pt>
                <c:pt idx="65">
                  <c:v>0.6646035</c:v>
                </c:pt>
                <c:pt idx="66">
                  <c:v>0.4062619</c:v>
                </c:pt>
                <c:pt idx="67">
                  <c:v>0.5190116</c:v>
                </c:pt>
                <c:pt idx="68">
                  <c:v>0.1613389</c:v>
                </c:pt>
                <c:pt idx="69">
                  <c:v>0.9227523</c:v>
                </c:pt>
                <c:pt idx="70">
                  <c:v>0.1219932</c:v>
                </c:pt>
                <c:pt idx="71">
                  <c:v>0.5758829</c:v>
                </c:pt>
                <c:pt idx="72">
                  <c:v>0.1626612</c:v>
                </c:pt>
                <c:pt idx="73">
                  <c:v>0.4635433</c:v>
                </c:pt>
                <c:pt idx="74">
                  <c:v>0.5290962</c:v>
                </c:pt>
                <c:pt idx="75">
                  <c:v>0.2180381</c:v>
                </c:pt>
                <c:pt idx="76">
                  <c:v>0.4031216</c:v>
                </c:pt>
                <c:pt idx="77">
                  <c:v>0.1685515</c:v>
                </c:pt>
                <c:pt idx="78">
                  <c:v>0.3923258</c:v>
                </c:pt>
                <c:pt idx="79">
                  <c:v>0.1228171</c:v>
                </c:pt>
                <c:pt idx="80">
                  <c:v>0.1730816</c:v>
                </c:pt>
                <c:pt idx="81">
                  <c:v>0.1993022</c:v>
                </c:pt>
                <c:pt idx="82">
                  <c:v>0.4930696</c:v>
                </c:pt>
                <c:pt idx="83">
                  <c:v>0.1959502</c:v>
                </c:pt>
                <c:pt idx="84">
                  <c:v>0.101103</c:v>
                </c:pt>
                <c:pt idx="85">
                  <c:v>0.1449923</c:v>
                </c:pt>
                <c:pt idx="86">
                  <c:v>0.214582</c:v>
                </c:pt>
                <c:pt idx="87">
                  <c:v>0.3073068</c:v>
                </c:pt>
                <c:pt idx="88">
                  <c:v>0.4164339</c:v>
                </c:pt>
                <c:pt idx="89">
                  <c:v>0.2539124</c:v>
                </c:pt>
                <c:pt idx="90">
                  <c:v>0.1758754</c:v>
                </c:pt>
                <c:pt idx="91">
                  <c:v>0.1612933</c:v>
                </c:pt>
                <c:pt idx="92">
                  <c:v>0.4070624</c:v>
                </c:pt>
                <c:pt idx="93">
                  <c:v>0.1553131</c:v>
                </c:pt>
                <c:pt idx="94">
                  <c:v>0.1972228</c:v>
                </c:pt>
                <c:pt idx="95">
                  <c:v>0.1845439</c:v>
                </c:pt>
                <c:pt idx="96">
                  <c:v>0.1897853</c:v>
                </c:pt>
                <c:pt idx="97">
                  <c:v>0.26052</c:v>
                </c:pt>
                <c:pt idx="98">
                  <c:v>0.9720382</c:v>
                </c:pt>
                <c:pt idx="99">
                  <c:v>0.6564994</c:v>
                </c:pt>
                <c:pt idx="100">
                  <c:v>0.1471273</c:v>
                </c:pt>
                <c:pt idx="101">
                  <c:v>0.260946</c:v>
                </c:pt>
                <c:pt idx="102">
                  <c:v>0.4222462</c:v>
                </c:pt>
                <c:pt idx="103">
                  <c:v>0.1118362</c:v>
                </c:pt>
                <c:pt idx="104">
                  <c:v>0.192509</c:v>
                </c:pt>
                <c:pt idx="105">
                  <c:v>0.3566432</c:v>
                </c:pt>
                <c:pt idx="106">
                  <c:v>0.1408899</c:v>
                </c:pt>
                <c:pt idx="107">
                  <c:v>0.2071696</c:v>
                </c:pt>
                <c:pt idx="108">
                  <c:v>0.1905039</c:v>
                </c:pt>
                <c:pt idx="109">
                  <c:v>0.437942</c:v>
                </c:pt>
                <c:pt idx="110">
                  <c:v>0.1235676</c:v>
                </c:pt>
                <c:pt idx="111">
                  <c:v>0.2022159</c:v>
                </c:pt>
                <c:pt idx="112">
                  <c:v>0.1706686</c:v>
                </c:pt>
                <c:pt idx="113">
                  <c:v>0.1895174</c:v>
                </c:pt>
                <c:pt idx="114">
                  <c:v>0.1728534</c:v>
                </c:pt>
                <c:pt idx="115">
                  <c:v>0.1834044</c:v>
                </c:pt>
                <c:pt idx="116">
                  <c:v>0.6216823</c:v>
                </c:pt>
                <c:pt idx="117">
                  <c:v>0.1542713</c:v>
                </c:pt>
                <c:pt idx="118">
                  <c:v>0.6035019</c:v>
                </c:pt>
                <c:pt idx="119">
                  <c:v>0.150295</c:v>
                </c:pt>
                <c:pt idx="120">
                  <c:v>0.1810163</c:v>
                </c:pt>
                <c:pt idx="121">
                  <c:v>0.6138306</c:v>
                </c:pt>
                <c:pt idx="122">
                  <c:v>0.2364106</c:v>
                </c:pt>
                <c:pt idx="123">
                  <c:v>0.1546426</c:v>
                </c:pt>
                <c:pt idx="124">
                  <c:v>0.1263701</c:v>
                </c:pt>
                <c:pt idx="125">
                  <c:v>0.1665404</c:v>
                </c:pt>
                <c:pt idx="126">
                  <c:v>0.3570831</c:v>
                </c:pt>
                <c:pt idx="127">
                  <c:v>0.2009094</c:v>
                </c:pt>
                <c:pt idx="128">
                  <c:v>0.1706872</c:v>
                </c:pt>
                <c:pt idx="129">
                  <c:v>0.260321</c:v>
                </c:pt>
                <c:pt idx="130">
                  <c:v>0.1312079</c:v>
                </c:pt>
                <c:pt idx="131">
                  <c:v>0.2234359</c:v>
                </c:pt>
                <c:pt idx="132">
                  <c:v>0.1827467</c:v>
                </c:pt>
                <c:pt idx="133">
                  <c:v>0.1947312</c:v>
                </c:pt>
                <c:pt idx="134">
                  <c:v>0.2361553</c:v>
                </c:pt>
                <c:pt idx="135">
                  <c:v>0.1988348</c:v>
                </c:pt>
                <c:pt idx="136">
                  <c:v>0.6180419</c:v>
                </c:pt>
                <c:pt idx="137">
                  <c:v>0.5822966</c:v>
                </c:pt>
                <c:pt idx="138">
                  <c:v>0.1529604</c:v>
                </c:pt>
                <c:pt idx="139">
                  <c:v>0.147764</c:v>
                </c:pt>
                <c:pt idx="140">
                  <c:v>0.228021</c:v>
                </c:pt>
                <c:pt idx="141">
                  <c:v>0.2175032</c:v>
                </c:pt>
                <c:pt idx="142">
                  <c:v>0.2828008</c:v>
                </c:pt>
                <c:pt idx="143">
                  <c:v>0.1945794</c:v>
                </c:pt>
                <c:pt idx="144">
                  <c:v>0.5704308</c:v>
                </c:pt>
                <c:pt idx="145">
                  <c:v>0.6293048</c:v>
                </c:pt>
                <c:pt idx="146">
                  <c:v>0.185347</c:v>
                </c:pt>
                <c:pt idx="147">
                  <c:v>1.431577</c:v>
                </c:pt>
                <c:pt idx="148">
                  <c:v>0.2031047</c:v>
                </c:pt>
                <c:pt idx="149">
                  <c:v>0.1888724</c:v>
                </c:pt>
                <c:pt idx="150">
                  <c:v>0.1914173</c:v>
                </c:pt>
                <c:pt idx="151">
                  <c:v>0.1498607</c:v>
                </c:pt>
                <c:pt idx="152">
                  <c:v>0.1783028</c:v>
                </c:pt>
                <c:pt idx="153">
                  <c:v>0.5788531</c:v>
                </c:pt>
                <c:pt idx="154">
                  <c:v>0.1227662</c:v>
                </c:pt>
                <c:pt idx="155">
                  <c:v>0.1701145</c:v>
                </c:pt>
                <c:pt idx="156">
                  <c:v>0.1930701</c:v>
                </c:pt>
                <c:pt idx="157">
                  <c:v>0.3812651</c:v>
                </c:pt>
                <c:pt idx="158">
                  <c:v>0.8218374</c:v>
                </c:pt>
                <c:pt idx="159">
                  <c:v>0.1570099</c:v>
                </c:pt>
                <c:pt idx="160">
                  <c:v>0.1392503</c:v>
                </c:pt>
                <c:pt idx="161">
                  <c:v>0.1446479</c:v>
                </c:pt>
                <c:pt idx="162">
                  <c:v>0.1722338</c:v>
                </c:pt>
                <c:pt idx="163">
                  <c:v>0.4885848</c:v>
                </c:pt>
                <c:pt idx="164">
                  <c:v>0.386451</c:v>
                </c:pt>
                <c:pt idx="165">
                  <c:v>0.1538612</c:v>
                </c:pt>
                <c:pt idx="166">
                  <c:v>0.2399595</c:v>
                </c:pt>
                <c:pt idx="167">
                  <c:v>0.1858793</c:v>
                </c:pt>
                <c:pt idx="168">
                  <c:v>1.002399</c:v>
                </c:pt>
                <c:pt idx="169">
                  <c:v>0.1956498</c:v>
                </c:pt>
                <c:pt idx="170">
                  <c:v>0.1370868</c:v>
                </c:pt>
                <c:pt idx="171">
                  <c:v>0.4837081</c:v>
                </c:pt>
                <c:pt idx="172">
                  <c:v>0.9451382</c:v>
                </c:pt>
                <c:pt idx="173">
                  <c:v>0.1332007</c:v>
                </c:pt>
                <c:pt idx="174">
                  <c:v>0.6507167</c:v>
                </c:pt>
                <c:pt idx="175">
                  <c:v>0.2123268</c:v>
                </c:pt>
                <c:pt idx="176">
                  <c:v>0.4077324</c:v>
                </c:pt>
                <c:pt idx="177">
                  <c:v>0.1635922</c:v>
                </c:pt>
                <c:pt idx="178">
                  <c:v>0.1618894</c:v>
                </c:pt>
                <c:pt idx="179">
                  <c:v>0.20924</c:v>
                </c:pt>
                <c:pt idx="180">
                  <c:v>0.0801476</c:v>
                </c:pt>
                <c:pt idx="181">
                  <c:v>0.187224</c:v>
                </c:pt>
                <c:pt idx="182">
                  <c:v>0.2006145</c:v>
                </c:pt>
                <c:pt idx="183">
                  <c:v>0.6602525</c:v>
                </c:pt>
              </c:numCache>
            </c:numRef>
          </c:xVal>
          <c:yVal>
            <c:numRef>
              <c:f>StataData!$R$2:$R$185</c:f>
              <c:numCache>
                <c:formatCode>General</c:formatCode>
                <c:ptCount val="184"/>
                <c:pt idx="0">
                  <c:v>0.065764</c:v>
                </c:pt>
                <c:pt idx="1">
                  <c:v>0.1443616</c:v>
                </c:pt>
                <c:pt idx="2">
                  <c:v>0.2307692</c:v>
                </c:pt>
                <c:pt idx="3">
                  <c:v>0.1261612</c:v>
                </c:pt>
                <c:pt idx="4">
                  <c:v>0.1704423</c:v>
                </c:pt>
                <c:pt idx="5">
                  <c:v>0.2245614</c:v>
                </c:pt>
                <c:pt idx="6">
                  <c:v>0.0082988</c:v>
                </c:pt>
                <c:pt idx="7">
                  <c:v>0.2352941</c:v>
                </c:pt>
                <c:pt idx="8">
                  <c:v>0.1073171</c:v>
                </c:pt>
                <c:pt idx="9">
                  <c:v>0.0394432</c:v>
                </c:pt>
                <c:pt idx="10">
                  <c:v>0.1052632</c:v>
                </c:pt>
                <c:pt idx="11">
                  <c:v>0.1368421</c:v>
                </c:pt>
                <c:pt idx="12">
                  <c:v>0.1815651</c:v>
                </c:pt>
                <c:pt idx="13">
                  <c:v>0.112782</c:v>
                </c:pt>
                <c:pt idx="14">
                  <c:v>0.2027742</c:v>
                </c:pt>
                <c:pt idx="15">
                  <c:v>0.2618352</c:v>
                </c:pt>
                <c:pt idx="16">
                  <c:v>0.174175</c:v>
                </c:pt>
                <c:pt idx="17">
                  <c:v>0.0912951</c:v>
                </c:pt>
                <c:pt idx="18">
                  <c:v>0.1366051</c:v>
                </c:pt>
                <c:pt idx="19">
                  <c:v>0.031068</c:v>
                </c:pt>
                <c:pt idx="20">
                  <c:v>0.0917874</c:v>
                </c:pt>
                <c:pt idx="21">
                  <c:v>0.0754352</c:v>
                </c:pt>
                <c:pt idx="22">
                  <c:v>0.1223629</c:v>
                </c:pt>
                <c:pt idx="23">
                  <c:v>0.0938628</c:v>
                </c:pt>
                <c:pt idx="24">
                  <c:v>0.1390476</c:v>
                </c:pt>
                <c:pt idx="25">
                  <c:v>0.0989215</c:v>
                </c:pt>
                <c:pt idx="26">
                  <c:v>0.1216469</c:v>
                </c:pt>
                <c:pt idx="27">
                  <c:v>0.1882353</c:v>
                </c:pt>
                <c:pt idx="28">
                  <c:v>0.1428571</c:v>
                </c:pt>
                <c:pt idx="29">
                  <c:v>0.1371429</c:v>
                </c:pt>
                <c:pt idx="30">
                  <c:v>0.3176471</c:v>
                </c:pt>
                <c:pt idx="31">
                  <c:v>0.1694092</c:v>
                </c:pt>
                <c:pt idx="32">
                  <c:v>0.0685155</c:v>
                </c:pt>
                <c:pt idx="33">
                  <c:v>0.158516</c:v>
                </c:pt>
                <c:pt idx="34">
                  <c:v>0.1010309</c:v>
                </c:pt>
                <c:pt idx="35">
                  <c:v>0.2433898</c:v>
                </c:pt>
                <c:pt idx="36">
                  <c:v>0.0451977</c:v>
                </c:pt>
                <c:pt idx="37">
                  <c:v>0.0842333</c:v>
                </c:pt>
                <c:pt idx="38">
                  <c:v>0.1062124</c:v>
                </c:pt>
                <c:pt idx="39">
                  <c:v>0.1180124</c:v>
                </c:pt>
                <c:pt idx="40">
                  <c:v>0.0926829</c:v>
                </c:pt>
                <c:pt idx="41">
                  <c:v>0.1403509</c:v>
                </c:pt>
                <c:pt idx="42">
                  <c:v>0.1253488</c:v>
                </c:pt>
                <c:pt idx="43">
                  <c:v>0.1067367</c:v>
                </c:pt>
                <c:pt idx="44">
                  <c:v>0.1120794</c:v>
                </c:pt>
                <c:pt idx="45">
                  <c:v>0.2108716</c:v>
                </c:pt>
                <c:pt idx="46">
                  <c:v>0.0632911</c:v>
                </c:pt>
                <c:pt idx="47">
                  <c:v>0.1022222</c:v>
                </c:pt>
                <c:pt idx="48">
                  <c:v>0.109215</c:v>
                </c:pt>
                <c:pt idx="49">
                  <c:v>0.1566265</c:v>
                </c:pt>
                <c:pt idx="50">
                  <c:v>0.2609819</c:v>
                </c:pt>
                <c:pt idx="51">
                  <c:v>0.1888325</c:v>
                </c:pt>
                <c:pt idx="52">
                  <c:v>0.143155</c:v>
                </c:pt>
                <c:pt idx="53">
                  <c:v>0.2243142</c:v>
                </c:pt>
                <c:pt idx="54">
                  <c:v>0.0697674</c:v>
                </c:pt>
                <c:pt idx="55">
                  <c:v>0.2303848</c:v>
                </c:pt>
                <c:pt idx="56">
                  <c:v>0.0712871</c:v>
                </c:pt>
                <c:pt idx="57">
                  <c:v>0.0474934</c:v>
                </c:pt>
                <c:pt idx="58">
                  <c:v>0.1575758</c:v>
                </c:pt>
                <c:pt idx="59">
                  <c:v>0.0530973</c:v>
                </c:pt>
                <c:pt idx="60">
                  <c:v>0.030303</c:v>
                </c:pt>
                <c:pt idx="61">
                  <c:v>0.0967329</c:v>
                </c:pt>
                <c:pt idx="62">
                  <c:v>0.1636364</c:v>
                </c:pt>
                <c:pt idx="63">
                  <c:v>0.1728395</c:v>
                </c:pt>
                <c:pt idx="64">
                  <c:v>0.0798722</c:v>
                </c:pt>
                <c:pt idx="65">
                  <c:v>0.0788177</c:v>
                </c:pt>
                <c:pt idx="66">
                  <c:v>0.0444444</c:v>
                </c:pt>
                <c:pt idx="67">
                  <c:v>0.0383632</c:v>
                </c:pt>
                <c:pt idx="68">
                  <c:v>0.2193772</c:v>
                </c:pt>
                <c:pt idx="69">
                  <c:v>0.1298701</c:v>
                </c:pt>
                <c:pt idx="70">
                  <c:v>0.1791045</c:v>
                </c:pt>
                <c:pt idx="71">
                  <c:v>0.0639175</c:v>
                </c:pt>
                <c:pt idx="72">
                  <c:v>0.2141998</c:v>
                </c:pt>
                <c:pt idx="73">
                  <c:v>0.1323283</c:v>
                </c:pt>
                <c:pt idx="74">
                  <c:v>0.0889292</c:v>
                </c:pt>
                <c:pt idx="75">
                  <c:v>0.1430313</c:v>
                </c:pt>
                <c:pt idx="76">
                  <c:v>0.0693642</c:v>
                </c:pt>
                <c:pt idx="77">
                  <c:v>0.1561772</c:v>
                </c:pt>
                <c:pt idx="78">
                  <c:v>0.1055807</c:v>
                </c:pt>
                <c:pt idx="79">
                  <c:v>0.2445415</c:v>
                </c:pt>
                <c:pt idx="80">
                  <c:v>0.1553398</c:v>
                </c:pt>
                <c:pt idx="81">
                  <c:v>0.0701754</c:v>
                </c:pt>
                <c:pt idx="82">
                  <c:v>0.0369515</c:v>
                </c:pt>
                <c:pt idx="83">
                  <c:v>0.1371543</c:v>
                </c:pt>
                <c:pt idx="84">
                  <c:v>0.2054795</c:v>
                </c:pt>
                <c:pt idx="85">
                  <c:v>0.3043478</c:v>
                </c:pt>
                <c:pt idx="86">
                  <c:v>0.2307692</c:v>
                </c:pt>
                <c:pt idx="87">
                  <c:v>0.1161731</c:v>
                </c:pt>
                <c:pt idx="88">
                  <c:v>0.1109185</c:v>
                </c:pt>
                <c:pt idx="89">
                  <c:v>0.1506849</c:v>
                </c:pt>
                <c:pt idx="90">
                  <c:v>0.134715</c:v>
                </c:pt>
                <c:pt idx="91">
                  <c:v>0.1803279</c:v>
                </c:pt>
                <c:pt idx="92">
                  <c:v>0.011583</c:v>
                </c:pt>
                <c:pt idx="93">
                  <c:v>0.1334149</c:v>
                </c:pt>
                <c:pt idx="94">
                  <c:v>0.1278849</c:v>
                </c:pt>
                <c:pt idx="95">
                  <c:v>0.1698113</c:v>
                </c:pt>
                <c:pt idx="96">
                  <c:v>0.2193897</c:v>
                </c:pt>
                <c:pt idx="97">
                  <c:v>0.0935673</c:v>
                </c:pt>
                <c:pt idx="98">
                  <c:v>0.1469194</c:v>
                </c:pt>
                <c:pt idx="99">
                  <c:v>0.0527705</c:v>
                </c:pt>
                <c:pt idx="100">
                  <c:v>0.0884956</c:v>
                </c:pt>
                <c:pt idx="101">
                  <c:v>0.0666667</c:v>
                </c:pt>
                <c:pt idx="102">
                  <c:v>0.0593081</c:v>
                </c:pt>
                <c:pt idx="103">
                  <c:v>0.0275229</c:v>
                </c:pt>
                <c:pt idx="104">
                  <c:v>0.1399267</c:v>
                </c:pt>
                <c:pt idx="105">
                  <c:v>0.037037</c:v>
                </c:pt>
                <c:pt idx="106">
                  <c:v>0.3748928</c:v>
                </c:pt>
                <c:pt idx="107">
                  <c:v>0.1058824</c:v>
                </c:pt>
                <c:pt idx="108">
                  <c:v>0.1189989</c:v>
                </c:pt>
                <c:pt idx="109">
                  <c:v>0.0411862</c:v>
                </c:pt>
                <c:pt idx="110">
                  <c:v>0.1439921</c:v>
                </c:pt>
                <c:pt idx="111">
                  <c:v>0.2681048</c:v>
                </c:pt>
                <c:pt idx="112">
                  <c:v>0.2050708</c:v>
                </c:pt>
                <c:pt idx="113">
                  <c:v>0.0144928</c:v>
                </c:pt>
                <c:pt idx="114">
                  <c:v>0.1813333</c:v>
                </c:pt>
                <c:pt idx="115">
                  <c:v>0.0987654</c:v>
                </c:pt>
                <c:pt idx="116">
                  <c:v>0.070615</c:v>
                </c:pt>
                <c:pt idx="117">
                  <c:v>0.2149254</c:v>
                </c:pt>
                <c:pt idx="118">
                  <c:v>0.0745342</c:v>
                </c:pt>
                <c:pt idx="119">
                  <c:v>0.1481481</c:v>
                </c:pt>
                <c:pt idx="120">
                  <c:v>0.2</c:v>
                </c:pt>
                <c:pt idx="121">
                  <c:v>0.0909091</c:v>
                </c:pt>
                <c:pt idx="122">
                  <c:v>0.0847458</c:v>
                </c:pt>
                <c:pt idx="123">
                  <c:v>0.303781</c:v>
                </c:pt>
                <c:pt idx="124">
                  <c:v>0.019802</c:v>
                </c:pt>
                <c:pt idx="125">
                  <c:v>0.17737</c:v>
                </c:pt>
                <c:pt idx="126">
                  <c:v>0.1071081</c:v>
                </c:pt>
                <c:pt idx="127">
                  <c:v>0.1270208</c:v>
                </c:pt>
                <c:pt idx="128">
                  <c:v>0.1818182</c:v>
                </c:pt>
                <c:pt idx="129">
                  <c:v>0.0665543</c:v>
                </c:pt>
                <c:pt idx="130">
                  <c:v>0.3319838</c:v>
                </c:pt>
                <c:pt idx="131">
                  <c:v>0.027027</c:v>
                </c:pt>
                <c:pt idx="132">
                  <c:v>0.112453</c:v>
                </c:pt>
                <c:pt idx="133">
                  <c:v>0.1036545</c:v>
                </c:pt>
                <c:pt idx="134">
                  <c:v>0.1280228</c:v>
                </c:pt>
                <c:pt idx="135">
                  <c:v>0.1298701</c:v>
                </c:pt>
                <c:pt idx="136">
                  <c:v>0.0465116</c:v>
                </c:pt>
                <c:pt idx="137">
                  <c:v>0.1234043</c:v>
                </c:pt>
                <c:pt idx="138">
                  <c:v>0.3468635</c:v>
                </c:pt>
                <c:pt idx="139">
                  <c:v>0.2579583</c:v>
                </c:pt>
                <c:pt idx="140">
                  <c:v>0.1081081</c:v>
                </c:pt>
                <c:pt idx="141">
                  <c:v>0.0788091</c:v>
                </c:pt>
                <c:pt idx="142">
                  <c:v>0.1545236</c:v>
                </c:pt>
                <c:pt idx="143">
                  <c:v>0.2227466</c:v>
                </c:pt>
                <c:pt idx="144">
                  <c:v>0.0546075</c:v>
                </c:pt>
                <c:pt idx="145">
                  <c:v>0.056</c:v>
                </c:pt>
                <c:pt idx="146">
                  <c:v>0.119891</c:v>
                </c:pt>
                <c:pt idx="147">
                  <c:v>0.0983607</c:v>
                </c:pt>
                <c:pt idx="148">
                  <c:v>0.1827637</c:v>
                </c:pt>
                <c:pt idx="149">
                  <c:v>0.1681364</c:v>
                </c:pt>
                <c:pt idx="150">
                  <c:v>0.1143524</c:v>
                </c:pt>
                <c:pt idx="151">
                  <c:v>0.2407825</c:v>
                </c:pt>
                <c:pt idx="152">
                  <c:v>0.2570806</c:v>
                </c:pt>
                <c:pt idx="153">
                  <c:v>0.0618337</c:v>
                </c:pt>
                <c:pt idx="154">
                  <c:v>0.0322581</c:v>
                </c:pt>
                <c:pt idx="155">
                  <c:v>0.3442623</c:v>
                </c:pt>
                <c:pt idx="156">
                  <c:v>0.0869565</c:v>
                </c:pt>
                <c:pt idx="157">
                  <c:v>0.0928196</c:v>
                </c:pt>
                <c:pt idx="158">
                  <c:v>0.0769231</c:v>
                </c:pt>
                <c:pt idx="159">
                  <c:v>0.2461294</c:v>
                </c:pt>
                <c:pt idx="160">
                  <c:v>0.1460674</c:v>
                </c:pt>
                <c:pt idx="161">
                  <c:v>0.3328307</c:v>
                </c:pt>
                <c:pt idx="162">
                  <c:v>0.2847059</c:v>
                </c:pt>
                <c:pt idx="163">
                  <c:v>0.0293333</c:v>
                </c:pt>
                <c:pt idx="164">
                  <c:v>0.0705882</c:v>
                </c:pt>
                <c:pt idx="165">
                  <c:v>0.0921659</c:v>
                </c:pt>
                <c:pt idx="166">
                  <c:v>0.1367521</c:v>
                </c:pt>
                <c:pt idx="167">
                  <c:v>0.0864198</c:v>
                </c:pt>
                <c:pt idx="168">
                  <c:v>0.160804</c:v>
                </c:pt>
                <c:pt idx="169">
                  <c:v>0.086233</c:v>
                </c:pt>
                <c:pt idx="170">
                  <c:v>0.1277705</c:v>
                </c:pt>
                <c:pt idx="171">
                  <c:v>0.0123203</c:v>
                </c:pt>
                <c:pt idx="172">
                  <c:v>0.1546392</c:v>
                </c:pt>
                <c:pt idx="173">
                  <c:v>0.1336516</c:v>
                </c:pt>
                <c:pt idx="174">
                  <c:v>0.0424403</c:v>
                </c:pt>
                <c:pt idx="175">
                  <c:v>0.1794872</c:v>
                </c:pt>
                <c:pt idx="176">
                  <c:v>0.0801782</c:v>
                </c:pt>
                <c:pt idx="177">
                  <c:v>0.2820258</c:v>
                </c:pt>
                <c:pt idx="178">
                  <c:v>0.2309538</c:v>
                </c:pt>
                <c:pt idx="179">
                  <c:v>0.1541711</c:v>
                </c:pt>
                <c:pt idx="180">
                  <c:v>0.1818182</c:v>
                </c:pt>
                <c:pt idx="181">
                  <c:v>0.1221952</c:v>
                </c:pt>
                <c:pt idx="182">
                  <c:v>0.0266667</c:v>
                </c:pt>
                <c:pt idx="183">
                  <c:v>0.0712468</c:v>
                </c:pt>
              </c:numCache>
            </c:numRef>
          </c:yVal>
        </c:ser>
        <c:axId val="347476136"/>
        <c:axId val="347265192"/>
      </c:scatterChart>
      <c:valAx>
        <c:axId val="347476136"/>
        <c:scaling>
          <c:orientation val="minMax"/>
          <c:min val="0.0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Eta</a:t>
                </a:r>
              </a:p>
            </c:rich>
          </c:tx>
        </c:title>
        <c:numFmt formatCode="General" sourceLinked="1"/>
        <c:tickLblPos val="nextTo"/>
        <c:crossAx val="347265192"/>
        <c:crosses val="autoZero"/>
        <c:crossBetween val="midCat"/>
      </c:valAx>
      <c:valAx>
        <c:axId val="347265192"/>
        <c:scaling>
          <c:orientation val="minMax"/>
          <c:min val="0.0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Alpha</a:t>
                </a:r>
              </a:p>
            </c:rich>
          </c:tx>
        </c:title>
        <c:numFmt formatCode="General" sourceLinked="1"/>
        <c:tickLblPos val="nextTo"/>
        <c:crossAx val="347476136"/>
        <c:crosses val="autoZero"/>
        <c:crossBetween val="midCat"/>
      </c:valAx>
    </c:plotArea>
    <c:plotVisOnly val="1"/>
  </c:char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US"/>
  <c:style val="12"/>
  <c:chart>
    <c:title>
      <c:tx>
        <c:rich>
          <a:bodyPr/>
          <a:lstStyle/>
          <a:p>
            <a:pPr>
              <a:defRPr/>
            </a:pPr>
            <a:r>
              <a:rPr lang="en-US"/>
              <a:t>Alpha vs. Circuity</a:t>
            </a:r>
          </a:p>
        </c:rich>
      </c:tx>
    </c:title>
    <c:plotArea>
      <c:layout/>
      <c:scatterChart>
        <c:scatterStyle val="lineMarker"/>
        <c:ser>
          <c:idx val="0"/>
          <c:order val="0"/>
          <c:tx>
            <c:strRef>
              <c:f>StataData!$BI$1</c:f>
              <c:strCache>
                <c:ptCount val="1"/>
                <c:pt idx="0">
                  <c:v>avg_tt</c:v>
                </c:pt>
              </c:strCache>
            </c:strRef>
          </c:tx>
          <c:spPr>
            <a:ln w="47625">
              <a:noFill/>
            </a:ln>
          </c:spPr>
          <c:marker>
            <c:symbol val="circle"/>
            <c:size val="6"/>
          </c:marker>
          <c:trendline>
            <c:trendlineType val="power"/>
            <c:dispRSqr val="1"/>
            <c:dispEq val="1"/>
            <c:trendlineLbl>
              <c:layout>
                <c:manualLayout>
                  <c:x val="0.0137138524351123"/>
                  <c:y val="-0.0573672187468701"/>
                </c:manualLayout>
              </c:layout>
              <c:numFmt formatCode="General" sourceLinked="0"/>
            </c:trendlineLbl>
          </c:trendline>
          <c:xVal>
            <c:numRef>
              <c:f>StataData!$AC$2:$AC$185</c:f>
              <c:numCache>
                <c:formatCode>General</c:formatCode>
                <c:ptCount val="184"/>
                <c:pt idx="0">
                  <c:v>1.44</c:v>
                </c:pt>
                <c:pt idx="1">
                  <c:v>1.4</c:v>
                </c:pt>
                <c:pt idx="2">
                  <c:v>1.39</c:v>
                </c:pt>
                <c:pt idx="3">
                  <c:v>1.33</c:v>
                </c:pt>
                <c:pt idx="4">
                  <c:v>1.34</c:v>
                </c:pt>
                <c:pt idx="5">
                  <c:v>1.4</c:v>
                </c:pt>
                <c:pt idx="6">
                  <c:v>1.62</c:v>
                </c:pt>
                <c:pt idx="7">
                  <c:v>1.3</c:v>
                </c:pt>
                <c:pt idx="8">
                  <c:v>1.53</c:v>
                </c:pt>
                <c:pt idx="9">
                  <c:v>1.41</c:v>
                </c:pt>
                <c:pt idx="10">
                  <c:v>1.39</c:v>
                </c:pt>
                <c:pt idx="11">
                  <c:v>1.28</c:v>
                </c:pt>
                <c:pt idx="12">
                  <c:v>1.39</c:v>
                </c:pt>
                <c:pt idx="13">
                  <c:v>1.45</c:v>
                </c:pt>
                <c:pt idx="14">
                  <c:v>1.28</c:v>
                </c:pt>
                <c:pt idx="15">
                  <c:v>1.32</c:v>
                </c:pt>
                <c:pt idx="16">
                  <c:v>1.35</c:v>
                </c:pt>
                <c:pt idx="17">
                  <c:v>1.35</c:v>
                </c:pt>
                <c:pt idx="18">
                  <c:v>1.3</c:v>
                </c:pt>
                <c:pt idx="19">
                  <c:v>1.63</c:v>
                </c:pt>
                <c:pt idx="20">
                  <c:v>1.54</c:v>
                </c:pt>
                <c:pt idx="21">
                  <c:v>1.36</c:v>
                </c:pt>
                <c:pt idx="22">
                  <c:v>1.4</c:v>
                </c:pt>
                <c:pt idx="23">
                  <c:v>1.38</c:v>
                </c:pt>
                <c:pt idx="24">
                  <c:v>1.32</c:v>
                </c:pt>
                <c:pt idx="25">
                  <c:v>1.5</c:v>
                </c:pt>
                <c:pt idx="26">
                  <c:v>1.44</c:v>
                </c:pt>
                <c:pt idx="27">
                  <c:v>1.5</c:v>
                </c:pt>
                <c:pt idx="28">
                  <c:v>1.24</c:v>
                </c:pt>
                <c:pt idx="29">
                  <c:v>1.41</c:v>
                </c:pt>
                <c:pt idx="30">
                  <c:v>1.3</c:v>
                </c:pt>
                <c:pt idx="31">
                  <c:v>1.28</c:v>
                </c:pt>
                <c:pt idx="32">
                  <c:v>1.34</c:v>
                </c:pt>
                <c:pt idx="33">
                  <c:v>1.44</c:v>
                </c:pt>
                <c:pt idx="34">
                  <c:v>1.43</c:v>
                </c:pt>
                <c:pt idx="35">
                  <c:v>1.38</c:v>
                </c:pt>
                <c:pt idx="36">
                  <c:v>1.48</c:v>
                </c:pt>
                <c:pt idx="37">
                  <c:v>1.58</c:v>
                </c:pt>
                <c:pt idx="38">
                  <c:v>1.47</c:v>
                </c:pt>
                <c:pt idx="39">
                  <c:v>1.52</c:v>
                </c:pt>
                <c:pt idx="40">
                  <c:v>1.32</c:v>
                </c:pt>
                <c:pt idx="41">
                  <c:v>1.4</c:v>
                </c:pt>
                <c:pt idx="42">
                  <c:v>1.28</c:v>
                </c:pt>
                <c:pt idx="43">
                  <c:v>1.4</c:v>
                </c:pt>
                <c:pt idx="44">
                  <c:v>1.35</c:v>
                </c:pt>
                <c:pt idx="45">
                  <c:v>1.32</c:v>
                </c:pt>
                <c:pt idx="46">
                  <c:v>1.79</c:v>
                </c:pt>
                <c:pt idx="47">
                  <c:v>1.43</c:v>
                </c:pt>
                <c:pt idx="48">
                  <c:v>1.35</c:v>
                </c:pt>
                <c:pt idx="49">
                  <c:v>1.3</c:v>
                </c:pt>
                <c:pt idx="50">
                  <c:v>1.36</c:v>
                </c:pt>
                <c:pt idx="51">
                  <c:v>1.32</c:v>
                </c:pt>
                <c:pt idx="52">
                  <c:v>1.47</c:v>
                </c:pt>
                <c:pt idx="53">
                  <c:v>1.31</c:v>
                </c:pt>
                <c:pt idx="54">
                  <c:v>1.49</c:v>
                </c:pt>
                <c:pt idx="55">
                  <c:v>1.33</c:v>
                </c:pt>
                <c:pt idx="56">
                  <c:v>1.42</c:v>
                </c:pt>
                <c:pt idx="57">
                  <c:v>1.46</c:v>
                </c:pt>
                <c:pt idx="58">
                  <c:v>1.38</c:v>
                </c:pt>
                <c:pt idx="59">
                  <c:v>1.67</c:v>
                </c:pt>
                <c:pt idx="60">
                  <c:v>1.4</c:v>
                </c:pt>
                <c:pt idx="61">
                  <c:v>1.44</c:v>
                </c:pt>
                <c:pt idx="62">
                  <c:v>1.41</c:v>
                </c:pt>
                <c:pt idx="63">
                  <c:v>1.36</c:v>
                </c:pt>
                <c:pt idx="64">
                  <c:v>1.54</c:v>
                </c:pt>
                <c:pt idx="65">
                  <c:v>1.33</c:v>
                </c:pt>
                <c:pt idx="66">
                  <c:v>1.26</c:v>
                </c:pt>
                <c:pt idx="67">
                  <c:v>2.03</c:v>
                </c:pt>
                <c:pt idx="68">
                  <c:v>1.34</c:v>
                </c:pt>
                <c:pt idx="69">
                  <c:v>1.36</c:v>
                </c:pt>
                <c:pt idx="70">
                  <c:v>1.75</c:v>
                </c:pt>
                <c:pt idx="71">
                  <c:v>1.41</c:v>
                </c:pt>
                <c:pt idx="72">
                  <c:v>1.32</c:v>
                </c:pt>
                <c:pt idx="73">
                  <c:v>1.35</c:v>
                </c:pt>
                <c:pt idx="74">
                  <c:v>1.37</c:v>
                </c:pt>
                <c:pt idx="75">
                  <c:v>1.4</c:v>
                </c:pt>
                <c:pt idx="76">
                  <c:v>1.4</c:v>
                </c:pt>
                <c:pt idx="77">
                  <c:v>1.51</c:v>
                </c:pt>
                <c:pt idx="78">
                  <c:v>1.43</c:v>
                </c:pt>
                <c:pt idx="79">
                  <c:v>1.32</c:v>
                </c:pt>
                <c:pt idx="80">
                  <c:v>1.3</c:v>
                </c:pt>
                <c:pt idx="81">
                  <c:v>1.78</c:v>
                </c:pt>
                <c:pt idx="82">
                  <c:v>1.51</c:v>
                </c:pt>
                <c:pt idx="83">
                  <c:v>1.28</c:v>
                </c:pt>
                <c:pt idx="84">
                  <c:v>1.25</c:v>
                </c:pt>
                <c:pt idx="85">
                  <c:v>1.26</c:v>
                </c:pt>
                <c:pt idx="86">
                  <c:v>1.36</c:v>
                </c:pt>
                <c:pt idx="87">
                  <c:v>1.9</c:v>
                </c:pt>
                <c:pt idx="88">
                  <c:v>1.78</c:v>
                </c:pt>
                <c:pt idx="89">
                  <c:v>1.54</c:v>
                </c:pt>
                <c:pt idx="90">
                  <c:v>1.32</c:v>
                </c:pt>
                <c:pt idx="91">
                  <c:v>1.65</c:v>
                </c:pt>
                <c:pt idx="92">
                  <c:v>1.46</c:v>
                </c:pt>
                <c:pt idx="93">
                  <c:v>1.52</c:v>
                </c:pt>
                <c:pt idx="94">
                  <c:v>1.4</c:v>
                </c:pt>
                <c:pt idx="95">
                  <c:v>1.39</c:v>
                </c:pt>
                <c:pt idx="96">
                  <c:v>1.34</c:v>
                </c:pt>
                <c:pt idx="97">
                  <c:v>1.5</c:v>
                </c:pt>
                <c:pt idx="98">
                  <c:v>1.38</c:v>
                </c:pt>
                <c:pt idx="99">
                  <c:v>1.5</c:v>
                </c:pt>
                <c:pt idx="100">
                  <c:v>1.35</c:v>
                </c:pt>
                <c:pt idx="101">
                  <c:v>1.14</c:v>
                </c:pt>
                <c:pt idx="102">
                  <c:v>1.39</c:v>
                </c:pt>
                <c:pt idx="103">
                  <c:v>1.71</c:v>
                </c:pt>
                <c:pt idx="104">
                  <c:v>1.42</c:v>
                </c:pt>
                <c:pt idx="105">
                  <c:v>1.21</c:v>
                </c:pt>
                <c:pt idx="106">
                  <c:v>1.16</c:v>
                </c:pt>
                <c:pt idx="107">
                  <c:v>1.31</c:v>
                </c:pt>
                <c:pt idx="108">
                  <c:v>1.34</c:v>
                </c:pt>
                <c:pt idx="109">
                  <c:v>1.75</c:v>
                </c:pt>
                <c:pt idx="110">
                  <c:v>1.5</c:v>
                </c:pt>
                <c:pt idx="111">
                  <c:v>1.33</c:v>
                </c:pt>
                <c:pt idx="112">
                  <c:v>1.42</c:v>
                </c:pt>
                <c:pt idx="113">
                  <c:v>1.27</c:v>
                </c:pt>
                <c:pt idx="114">
                  <c:v>1.27</c:v>
                </c:pt>
                <c:pt idx="115">
                  <c:v>1.58</c:v>
                </c:pt>
                <c:pt idx="116">
                  <c:v>1.49</c:v>
                </c:pt>
                <c:pt idx="117">
                  <c:v>1.33</c:v>
                </c:pt>
                <c:pt idx="118">
                  <c:v>1.38</c:v>
                </c:pt>
                <c:pt idx="119">
                  <c:v>1.2</c:v>
                </c:pt>
                <c:pt idx="120">
                  <c:v>1.38</c:v>
                </c:pt>
                <c:pt idx="121">
                  <c:v>1.4</c:v>
                </c:pt>
                <c:pt idx="122">
                  <c:v>1.47</c:v>
                </c:pt>
                <c:pt idx="123">
                  <c:v>1.31</c:v>
                </c:pt>
                <c:pt idx="124">
                  <c:v>1.76</c:v>
                </c:pt>
                <c:pt idx="125">
                  <c:v>1.31</c:v>
                </c:pt>
                <c:pt idx="126">
                  <c:v>1.49</c:v>
                </c:pt>
                <c:pt idx="127">
                  <c:v>1.36</c:v>
                </c:pt>
                <c:pt idx="128">
                  <c:v>1.29</c:v>
                </c:pt>
                <c:pt idx="129">
                  <c:v>1.6</c:v>
                </c:pt>
                <c:pt idx="130">
                  <c:v>1.27</c:v>
                </c:pt>
                <c:pt idx="131">
                  <c:v>1.6</c:v>
                </c:pt>
                <c:pt idx="132">
                  <c:v>1.33</c:v>
                </c:pt>
                <c:pt idx="133">
                  <c:v>1.5</c:v>
                </c:pt>
                <c:pt idx="134">
                  <c:v>1.4</c:v>
                </c:pt>
                <c:pt idx="135">
                  <c:v>1.42</c:v>
                </c:pt>
                <c:pt idx="136">
                  <c:v>1.33</c:v>
                </c:pt>
                <c:pt idx="137">
                  <c:v>1.42</c:v>
                </c:pt>
                <c:pt idx="138">
                  <c:v>1.26</c:v>
                </c:pt>
                <c:pt idx="139">
                  <c:v>1.3</c:v>
                </c:pt>
                <c:pt idx="140">
                  <c:v>1.37</c:v>
                </c:pt>
                <c:pt idx="141">
                  <c:v>1.72</c:v>
                </c:pt>
                <c:pt idx="142">
                  <c:v>1.29</c:v>
                </c:pt>
                <c:pt idx="143">
                  <c:v>1.28</c:v>
                </c:pt>
                <c:pt idx="144">
                  <c:v>1.49</c:v>
                </c:pt>
                <c:pt idx="145">
                  <c:v>1.68</c:v>
                </c:pt>
                <c:pt idx="146">
                  <c:v>1.4</c:v>
                </c:pt>
                <c:pt idx="147">
                  <c:v>1.46</c:v>
                </c:pt>
                <c:pt idx="148">
                  <c:v>1.35</c:v>
                </c:pt>
                <c:pt idx="149">
                  <c:v>1.29</c:v>
                </c:pt>
                <c:pt idx="150">
                  <c:v>1.55</c:v>
                </c:pt>
                <c:pt idx="151">
                  <c:v>1.28</c:v>
                </c:pt>
                <c:pt idx="152">
                  <c:v>1.35</c:v>
                </c:pt>
                <c:pt idx="153">
                  <c:v>1.42</c:v>
                </c:pt>
                <c:pt idx="154">
                  <c:v>1.33</c:v>
                </c:pt>
                <c:pt idx="155">
                  <c:v>1.28</c:v>
                </c:pt>
                <c:pt idx="156">
                  <c:v>1.53</c:v>
                </c:pt>
                <c:pt idx="157">
                  <c:v>1.28</c:v>
                </c:pt>
                <c:pt idx="158">
                  <c:v>1.56</c:v>
                </c:pt>
                <c:pt idx="159">
                  <c:v>1.32</c:v>
                </c:pt>
                <c:pt idx="160">
                  <c:v>1.32</c:v>
                </c:pt>
                <c:pt idx="161">
                  <c:v>1.18</c:v>
                </c:pt>
                <c:pt idx="162">
                  <c:v>1.3</c:v>
                </c:pt>
                <c:pt idx="163">
                  <c:v>1.84</c:v>
                </c:pt>
                <c:pt idx="164">
                  <c:v>1.8</c:v>
                </c:pt>
                <c:pt idx="165">
                  <c:v>1.56</c:v>
                </c:pt>
                <c:pt idx="166">
                  <c:v>1.56</c:v>
                </c:pt>
                <c:pt idx="167">
                  <c:v>1.36</c:v>
                </c:pt>
                <c:pt idx="168">
                  <c:v>1.33</c:v>
                </c:pt>
                <c:pt idx="169">
                  <c:v>1.52</c:v>
                </c:pt>
                <c:pt idx="170">
                  <c:v>1.66</c:v>
                </c:pt>
                <c:pt idx="171">
                  <c:v>1.53</c:v>
                </c:pt>
                <c:pt idx="172">
                  <c:v>1.38</c:v>
                </c:pt>
                <c:pt idx="173">
                  <c:v>1.47</c:v>
                </c:pt>
                <c:pt idx="174">
                  <c:v>1.78</c:v>
                </c:pt>
                <c:pt idx="175">
                  <c:v>1.26</c:v>
                </c:pt>
                <c:pt idx="176">
                  <c:v>1.54</c:v>
                </c:pt>
                <c:pt idx="177">
                  <c:v>1.3</c:v>
                </c:pt>
                <c:pt idx="178">
                  <c:v>1.29</c:v>
                </c:pt>
                <c:pt idx="179">
                  <c:v>1.58</c:v>
                </c:pt>
                <c:pt idx="180">
                  <c:v>1.31</c:v>
                </c:pt>
                <c:pt idx="181">
                  <c:v>1.34</c:v>
                </c:pt>
                <c:pt idx="182">
                  <c:v>1.42</c:v>
                </c:pt>
                <c:pt idx="183">
                  <c:v>1.52</c:v>
                </c:pt>
              </c:numCache>
            </c:numRef>
          </c:xVal>
          <c:yVal>
            <c:numRef>
              <c:f>StataData!$R$2:$R$185</c:f>
              <c:numCache>
                <c:formatCode>General</c:formatCode>
                <c:ptCount val="184"/>
                <c:pt idx="0">
                  <c:v>0.065764</c:v>
                </c:pt>
                <c:pt idx="1">
                  <c:v>0.1443616</c:v>
                </c:pt>
                <c:pt idx="2">
                  <c:v>0.2307692</c:v>
                </c:pt>
                <c:pt idx="3">
                  <c:v>0.1261612</c:v>
                </c:pt>
                <c:pt idx="4">
                  <c:v>0.1704423</c:v>
                </c:pt>
                <c:pt idx="5">
                  <c:v>0.2245614</c:v>
                </c:pt>
                <c:pt idx="6">
                  <c:v>0.0082988</c:v>
                </c:pt>
                <c:pt idx="7">
                  <c:v>0.2352941</c:v>
                </c:pt>
                <c:pt idx="8">
                  <c:v>0.1073171</c:v>
                </c:pt>
                <c:pt idx="9">
                  <c:v>0.0394432</c:v>
                </c:pt>
                <c:pt idx="10">
                  <c:v>0.1052632</c:v>
                </c:pt>
                <c:pt idx="11">
                  <c:v>0.1368421</c:v>
                </c:pt>
                <c:pt idx="12">
                  <c:v>0.1815651</c:v>
                </c:pt>
                <c:pt idx="13">
                  <c:v>0.112782</c:v>
                </c:pt>
                <c:pt idx="14">
                  <c:v>0.2027742</c:v>
                </c:pt>
                <c:pt idx="15">
                  <c:v>0.2618352</c:v>
                </c:pt>
                <c:pt idx="16">
                  <c:v>0.174175</c:v>
                </c:pt>
                <c:pt idx="17">
                  <c:v>0.0912951</c:v>
                </c:pt>
                <c:pt idx="18">
                  <c:v>0.1366051</c:v>
                </c:pt>
                <c:pt idx="19">
                  <c:v>0.031068</c:v>
                </c:pt>
                <c:pt idx="20">
                  <c:v>0.0917874</c:v>
                </c:pt>
                <c:pt idx="21">
                  <c:v>0.0754352</c:v>
                </c:pt>
                <c:pt idx="22">
                  <c:v>0.1223629</c:v>
                </c:pt>
                <c:pt idx="23">
                  <c:v>0.0938628</c:v>
                </c:pt>
                <c:pt idx="24">
                  <c:v>0.1390476</c:v>
                </c:pt>
                <c:pt idx="25">
                  <c:v>0.0989215</c:v>
                </c:pt>
                <c:pt idx="26">
                  <c:v>0.1216469</c:v>
                </c:pt>
                <c:pt idx="27">
                  <c:v>0.1882353</c:v>
                </c:pt>
                <c:pt idx="28">
                  <c:v>0.1428571</c:v>
                </c:pt>
                <c:pt idx="29">
                  <c:v>0.1371429</c:v>
                </c:pt>
                <c:pt idx="30">
                  <c:v>0.3176471</c:v>
                </c:pt>
                <c:pt idx="31">
                  <c:v>0.1694092</c:v>
                </c:pt>
                <c:pt idx="32">
                  <c:v>0.0685155</c:v>
                </c:pt>
                <c:pt idx="33">
                  <c:v>0.158516</c:v>
                </c:pt>
                <c:pt idx="34">
                  <c:v>0.1010309</c:v>
                </c:pt>
                <c:pt idx="35">
                  <c:v>0.2433898</c:v>
                </c:pt>
                <c:pt idx="36">
                  <c:v>0.0451977</c:v>
                </c:pt>
                <c:pt idx="37">
                  <c:v>0.0842333</c:v>
                </c:pt>
                <c:pt idx="38">
                  <c:v>0.1062124</c:v>
                </c:pt>
                <c:pt idx="39">
                  <c:v>0.1180124</c:v>
                </c:pt>
                <c:pt idx="40">
                  <c:v>0.0926829</c:v>
                </c:pt>
                <c:pt idx="41">
                  <c:v>0.1403509</c:v>
                </c:pt>
                <c:pt idx="42">
                  <c:v>0.1253488</c:v>
                </c:pt>
                <c:pt idx="43">
                  <c:v>0.1067367</c:v>
                </c:pt>
                <c:pt idx="44">
                  <c:v>0.1120794</c:v>
                </c:pt>
                <c:pt idx="45">
                  <c:v>0.2108716</c:v>
                </c:pt>
                <c:pt idx="46">
                  <c:v>0.0632911</c:v>
                </c:pt>
                <c:pt idx="47">
                  <c:v>0.1022222</c:v>
                </c:pt>
                <c:pt idx="48">
                  <c:v>0.109215</c:v>
                </c:pt>
                <c:pt idx="49">
                  <c:v>0.1566265</c:v>
                </c:pt>
                <c:pt idx="50">
                  <c:v>0.2609819</c:v>
                </c:pt>
                <c:pt idx="51">
                  <c:v>0.1888325</c:v>
                </c:pt>
                <c:pt idx="52">
                  <c:v>0.143155</c:v>
                </c:pt>
                <c:pt idx="53">
                  <c:v>0.2243142</c:v>
                </c:pt>
                <c:pt idx="54">
                  <c:v>0.0697674</c:v>
                </c:pt>
                <c:pt idx="55">
                  <c:v>0.2303848</c:v>
                </c:pt>
                <c:pt idx="56">
                  <c:v>0.0712871</c:v>
                </c:pt>
                <c:pt idx="57">
                  <c:v>0.0474934</c:v>
                </c:pt>
                <c:pt idx="58">
                  <c:v>0.1575758</c:v>
                </c:pt>
                <c:pt idx="59">
                  <c:v>0.0530973</c:v>
                </c:pt>
                <c:pt idx="60">
                  <c:v>0.030303</c:v>
                </c:pt>
                <c:pt idx="61">
                  <c:v>0.0967329</c:v>
                </c:pt>
                <c:pt idx="62">
                  <c:v>0.1636364</c:v>
                </c:pt>
                <c:pt idx="63">
                  <c:v>0.1728395</c:v>
                </c:pt>
                <c:pt idx="64">
                  <c:v>0.0798722</c:v>
                </c:pt>
                <c:pt idx="65">
                  <c:v>0.0788177</c:v>
                </c:pt>
                <c:pt idx="66">
                  <c:v>0.0444444</c:v>
                </c:pt>
                <c:pt idx="67">
                  <c:v>0.0383632</c:v>
                </c:pt>
                <c:pt idx="68">
                  <c:v>0.2193772</c:v>
                </c:pt>
                <c:pt idx="69">
                  <c:v>0.1298701</c:v>
                </c:pt>
                <c:pt idx="70">
                  <c:v>0.1791045</c:v>
                </c:pt>
                <c:pt idx="71">
                  <c:v>0.0639175</c:v>
                </c:pt>
                <c:pt idx="72">
                  <c:v>0.2141998</c:v>
                </c:pt>
                <c:pt idx="73">
                  <c:v>0.1323283</c:v>
                </c:pt>
                <c:pt idx="74">
                  <c:v>0.0889292</c:v>
                </c:pt>
                <c:pt idx="75">
                  <c:v>0.1430313</c:v>
                </c:pt>
                <c:pt idx="76">
                  <c:v>0.0693642</c:v>
                </c:pt>
                <c:pt idx="77">
                  <c:v>0.1561772</c:v>
                </c:pt>
                <c:pt idx="78">
                  <c:v>0.1055807</c:v>
                </c:pt>
                <c:pt idx="79">
                  <c:v>0.2445415</c:v>
                </c:pt>
                <c:pt idx="80">
                  <c:v>0.1553398</c:v>
                </c:pt>
                <c:pt idx="81">
                  <c:v>0.0701754</c:v>
                </c:pt>
                <c:pt idx="82">
                  <c:v>0.0369515</c:v>
                </c:pt>
                <c:pt idx="83">
                  <c:v>0.1371543</c:v>
                </c:pt>
                <c:pt idx="84">
                  <c:v>0.2054795</c:v>
                </c:pt>
                <c:pt idx="85">
                  <c:v>0.3043478</c:v>
                </c:pt>
                <c:pt idx="86">
                  <c:v>0.2307692</c:v>
                </c:pt>
                <c:pt idx="87">
                  <c:v>0.1161731</c:v>
                </c:pt>
                <c:pt idx="88">
                  <c:v>0.1109185</c:v>
                </c:pt>
                <c:pt idx="89">
                  <c:v>0.1506849</c:v>
                </c:pt>
                <c:pt idx="90">
                  <c:v>0.134715</c:v>
                </c:pt>
                <c:pt idx="91">
                  <c:v>0.1803279</c:v>
                </c:pt>
                <c:pt idx="92">
                  <c:v>0.011583</c:v>
                </c:pt>
                <c:pt idx="93">
                  <c:v>0.1334149</c:v>
                </c:pt>
                <c:pt idx="94">
                  <c:v>0.1278849</c:v>
                </c:pt>
                <c:pt idx="95">
                  <c:v>0.1698113</c:v>
                </c:pt>
                <c:pt idx="96">
                  <c:v>0.2193897</c:v>
                </c:pt>
                <c:pt idx="97">
                  <c:v>0.0935673</c:v>
                </c:pt>
                <c:pt idx="98">
                  <c:v>0.1469194</c:v>
                </c:pt>
                <c:pt idx="99">
                  <c:v>0.0527705</c:v>
                </c:pt>
                <c:pt idx="100">
                  <c:v>0.0884956</c:v>
                </c:pt>
                <c:pt idx="101">
                  <c:v>0.0666667</c:v>
                </c:pt>
                <c:pt idx="102">
                  <c:v>0.0593081</c:v>
                </c:pt>
                <c:pt idx="103">
                  <c:v>0.0275229</c:v>
                </c:pt>
                <c:pt idx="104">
                  <c:v>0.1399267</c:v>
                </c:pt>
                <c:pt idx="105">
                  <c:v>0.037037</c:v>
                </c:pt>
                <c:pt idx="106">
                  <c:v>0.3748928</c:v>
                </c:pt>
                <c:pt idx="107">
                  <c:v>0.1058824</c:v>
                </c:pt>
                <c:pt idx="108">
                  <c:v>0.1189989</c:v>
                </c:pt>
                <c:pt idx="109">
                  <c:v>0.0411862</c:v>
                </c:pt>
                <c:pt idx="110">
                  <c:v>0.1439921</c:v>
                </c:pt>
                <c:pt idx="111">
                  <c:v>0.2681048</c:v>
                </c:pt>
                <c:pt idx="112">
                  <c:v>0.2050708</c:v>
                </c:pt>
                <c:pt idx="113">
                  <c:v>0.0144928</c:v>
                </c:pt>
                <c:pt idx="114">
                  <c:v>0.1813333</c:v>
                </c:pt>
                <c:pt idx="115">
                  <c:v>0.0987654</c:v>
                </c:pt>
                <c:pt idx="116">
                  <c:v>0.070615</c:v>
                </c:pt>
                <c:pt idx="117">
                  <c:v>0.2149254</c:v>
                </c:pt>
                <c:pt idx="118">
                  <c:v>0.0745342</c:v>
                </c:pt>
                <c:pt idx="119">
                  <c:v>0.1481481</c:v>
                </c:pt>
                <c:pt idx="120">
                  <c:v>0.2</c:v>
                </c:pt>
                <c:pt idx="121">
                  <c:v>0.0909091</c:v>
                </c:pt>
                <c:pt idx="122">
                  <c:v>0.0847458</c:v>
                </c:pt>
                <c:pt idx="123">
                  <c:v>0.303781</c:v>
                </c:pt>
                <c:pt idx="124">
                  <c:v>0.019802</c:v>
                </c:pt>
                <c:pt idx="125">
                  <c:v>0.17737</c:v>
                </c:pt>
                <c:pt idx="126">
                  <c:v>0.1071081</c:v>
                </c:pt>
                <c:pt idx="127">
                  <c:v>0.1270208</c:v>
                </c:pt>
                <c:pt idx="128">
                  <c:v>0.1818182</c:v>
                </c:pt>
                <c:pt idx="129">
                  <c:v>0.0665543</c:v>
                </c:pt>
                <c:pt idx="130">
                  <c:v>0.3319838</c:v>
                </c:pt>
                <c:pt idx="131">
                  <c:v>0.027027</c:v>
                </c:pt>
                <c:pt idx="132">
                  <c:v>0.112453</c:v>
                </c:pt>
                <c:pt idx="133">
                  <c:v>0.1036545</c:v>
                </c:pt>
                <c:pt idx="134">
                  <c:v>0.1280228</c:v>
                </c:pt>
                <c:pt idx="135">
                  <c:v>0.1298701</c:v>
                </c:pt>
                <c:pt idx="136">
                  <c:v>0.0465116</c:v>
                </c:pt>
                <c:pt idx="137">
                  <c:v>0.1234043</c:v>
                </c:pt>
                <c:pt idx="138">
                  <c:v>0.3468635</c:v>
                </c:pt>
                <c:pt idx="139">
                  <c:v>0.2579583</c:v>
                </c:pt>
                <c:pt idx="140">
                  <c:v>0.1081081</c:v>
                </c:pt>
                <c:pt idx="141">
                  <c:v>0.0788091</c:v>
                </c:pt>
                <c:pt idx="142">
                  <c:v>0.1545236</c:v>
                </c:pt>
                <c:pt idx="143">
                  <c:v>0.2227466</c:v>
                </c:pt>
                <c:pt idx="144">
                  <c:v>0.0546075</c:v>
                </c:pt>
                <c:pt idx="145">
                  <c:v>0.056</c:v>
                </c:pt>
                <c:pt idx="146">
                  <c:v>0.119891</c:v>
                </c:pt>
                <c:pt idx="147">
                  <c:v>0.0983607</c:v>
                </c:pt>
                <c:pt idx="148">
                  <c:v>0.1827637</c:v>
                </c:pt>
                <c:pt idx="149">
                  <c:v>0.1681364</c:v>
                </c:pt>
                <c:pt idx="150">
                  <c:v>0.1143524</c:v>
                </c:pt>
                <c:pt idx="151">
                  <c:v>0.2407825</c:v>
                </c:pt>
                <c:pt idx="152">
                  <c:v>0.2570806</c:v>
                </c:pt>
                <c:pt idx="153">
                  <c:v>0.0618337</c:v>
                </c:pt>
                <c:pt idx="154">
                  <c:v>0.0322581</c:v>
                </c:pt>
                <c:pt idx="155">
                  <c:v>0.3442623</c:v>
                </c:pt>
                <c:pt idx="156">
                  <c:v>0.0869565</c:v>
                </c:pt>
                <c:pt idx="157">
                  <c:v>0.0928196</c:v>
                </c:pt>
                <c:pt idx="158">
                  <c:v>0.0769231</c:v>
                </c:pt>
                <c:pt idx="159">
                  <c:v>0.2461294</c:v>
                </c:pt>
                <c:pt idx="160">
                  <c:v>0.1460674</c:v>
                </c:pt>
                <c:pt idx="161">
                  <c:v>0.3328307</c:v>
                </c:pt>
                <c:pt idx="162">
                  <c:v>0.2847059</c:v>
                </c:pt>
                <c:pt idx="163">
                  <c:v>0.0293333</c:v>
                </c:pt>
                <c:pt idx="164">
                  <c:v>0.0705882</c:v>
                </c:pt>
                <c:pt idx="165">
                  <c:v>0.0921659</c:v>
                </c:pt>
                <c:pt idx="166">
                  <c:v>0.1367521</c:v>
                </c:pt>
                <c:pt idx="167">
                  <c:v>0.0864198</c:v>
                </c:pt>
                <c:pt idx="168">
                  <c:v>0.160804</c:v>
                </c:pt>
                <c:pt idx="169">
                  <c:v>0.086233</c:v>
                </c:pt>
                <c:pt idx="170">
                  <c:v>0.1277705</c:v>
                </c:pt>
                <c:pt idx="171">
                  <c:v>0.0123203</c:v>
                </c:pt>
                <c:pt idx="172">
                  <c:v>0.1546392</c:v>
                </c:pt>
                <c:pt idx="173">
                  <c:v>0.1336516</c:v>
                </c:pt>
                <c:pt idx="174">
                  <c:v>0.0424403</c:v>
                </c:pt>
                <c:pt idx="175">
                  <c:v>0.1794872</c:v>
                </c:pt>
                <c:pt idx="176">
                  <c:v>0.0801782</c:v>
                </c:pt>
                <c:pt idx="177">
                  <c:v>0.2820258</c:v>
                </c:pt>
                <c:pt idx="178">
                  <c:v>0.2309538</c:v>
                </c:pt>
                <c:pt idx="179">
                  <c:v>0.1541711</c:v>
                </c:pt>
                <c:pt idx="180">
                  <c:v>0.1818182</c:v>
                </c:pt>
                <c:pt idx="181">
                  <c:v>0.1221952</c:v>
                </c:pt>
                <c:pt idx="182">
                  <c:v>0.0266667</c:v>
                </c:pt>
                <c:pt idx="183">
                  <c:v>0.0712468</c:v>
                </c:pt>
              </c:numCache>
            </c:numRef>
          </c:yVal>
        </c:ser>
        <c:axId val="562796824"/>
        <c:axId val="310966440"/>
      </c:scatterChart>
      <c:valAx>
        <c:axId val="562796824"/>
        <c:scaling>
          <c:orientation val="minMax"/>
          <c:min val="1.0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Circuity</a:t>
                </a:r>
              </a:p>
            </c:rich>
          </c:tx>
        </c:title>
        <c:numFmt formatCode="General" sourceLinked="1"/>
        <c:tickLblPos val="nextTo"/>
        <c:crossAx val="310966440"/>
        <c:crosses val="autoZero"/>
        <c:crossBetween val="midCat"/>
      </c:valAx>
      <c:valAx>
        <c:axId val="310966440"/>
        <c:scaling>
          <c:orientation val="minMax"/>
          <c:min val="0.0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Alpha</a:t>
                </a:r>
              </a:p>
            </c:rich>
          </c:tx>
        </c:title>
        <c:numFmt formatCode="General" sourceLinked="1"/>
        <c:tickLblPos val="nextTo"/>
        <c:crossAx val="562796824"/>
        <c:crosses val="autoZero"/>
        <c:crossBetween val="midCat"/>
      </c:valAx>
    </c:plotArea>
    <c:plotVisOnly val="1"/>
  </c:char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US"/>
  <c:style val="12"/>
  <c:chart>
    <c:title>
      <c:tx>
        <c:rich>
          <a:bodyPr/>
          <a:lstStyle/>
          <a:p>
            <a:pPr>
              <a:defRPr/>
            </a:pPr>
            <a:r>
              <a:rPr lang="en-US"/>
              <a:t>Alpha vs. Treeness</a:t>
            </a:r>
          </a:p>
        </c:rich>
      </c:tx>
    </c:title>
    <c:plotArea>
      <c:layout/>
      <c:scatterChart>
        <c:scatterStyle val="lineMarker"/>
        <c:ser>
          <c:idx val="0"/>
          <c:order val="0"/>
          <c:tx>
            <c:strRef>
              <c:f>StataData!$BI$1</c:f>
              <c:strCache>
                <c:ptCount val="1"/>
                <c:pt idx="0">
                  <c:v>avg_tt</c:v>
                </c:pt>
              </c:strCache>
            </c:strRef>
          </c:tx>
          <c:spPr>
            <a:ln w="47625">
              <a:noFill/>
            </a:ln>
          </c:spPr>
          <c:marker>
            <c:symbol val="circle"/>
            <c:size val="6"/>
          </c:marker>
          <c:trendline>
            <c:spPr>
              <a:ln>
                <a:solidFill>
                  <a:srgbClr val="3366FF"/>
                </a:solidFill>
              </a:ln>
            </c:spPr>
            <c:trendlineType val="log"/>
            <c:dispRSqr val="1"/>
            <c:dispEq val="1"/>
            <c:trendlineLbl>
              <c:layout>
                <c:manualLayout>
                  <c:x val="0.0613830271216098"/>
                  <c:y val="-0.104852690328"/>
                </c:manualLayout>
              </c:layout>
              <c:numFmt formatCode="General" sourceLinked="0"/>
              <c:txPr>
                <a:bodyPr/>
                <a:lstStyle/>
                <a:p>
                  <a:pPr>
                    <a:defRPr>
                      <a:solidFill>
                        <a:srgbClr val="3366FF"/>
                      </a:solidFill>
                    </a:defRPr>
                  </a:pPr>
                  <a:endParaRPr lang="en-US"/>
                </a:p>
              </c:txPr>
            </c:trendlineLbl>
          </c:trendline>
          <c:xVal>
            <c:numRef>
              <c:f>StataData!$V$2:$V$185</c:f>
              <c:numCache>
                <c:formatCode>General</c:formatCode>
                <c:ptCount val="184"/>
                <c:pt idx="0">
                  <c:v>0.3594256</c:v>
                </c:pt>
                <c:pt idx="1">
                  <c:v>0.1770647</c:v>
                </c:pt>
                <c:pt idx="2">
                  <c:v>0.1390972</c:v>
                </c:pt>
                <c:pt idx="3">
                  <c:v>0.2116656</c:v>
                </c:pt>
                <c:pt idx="4">
                  <c:v>0.1565084</c:v>
                </c:pt>
                <c:pt idx="5">
                  <c:v>0.2556535</c:v>
                </c:pt>
                <c:pt idx="6">
                  <c:v>0.600069</c:v>
                </c:pt>
                <c:pt idx="7">
                  <c:v>0.2566875</c:v>
                </c:pt>
                <c:pt idx="8">
                  <c:v>0.1950395</c:v>
                </c:pt>
                <c:pt idx="9">
                  <c:v>0.3579702</c:v>
                </c:pt>
                <c:pt idx="10">
                  <c:v>0.6261001</c:v>
                </c:pt>
                <c:pt idx="11">
                  <c:v>0.248531</c:v>
                </c:pt>
                <c:pt idx="12">
                  <c:v>0.1914283</c:v>
                </c:pt>
                <c:pt idx="13">
                  <c:v>0.1918219</c:v>
                </c:pt>
                <c:pt idx="14">
                  <c:v>0.1260429</c:v>
                </c:pt>
                <c:pt idx="15">
                  <c:v>0.0711027</c:v>
                </c:pt>
                <c:pt idx="16">
                  <c:v>0.1279031</c:v>
                </c:pt>
                <c:pt idx="17">
                  <c:v>0.2463206</c:v>
                </c:pt>
                <c:pt idx="18">
                  <c:v>0.2207203</c:v>
                </c:pt>
                <c:pt idx="19">
                  <c:v>0.3747434</c:v>
                </c:pt>
                <c:pt idx="20">
                  <c:v>0.6431491</c:v>
                </c:pt>
                <c:pt idx="21">
                  <c:v>0.2451651</c:v>
                </c:pt>
                <c:pt idx="22">
                  <c:v>0.2664583</c:v>
                </c:pt>
                <c:pt idx="23">
                  <c:v>0.3817437</c:v>
                </c:pt>
                <c:pt idx="24">
                  <c:v>0.1981488</c:v>
                </c:pt>
                <c:pt idx="25">
                  <c:v>0.3902869</c:v>
                </c:pt>
                <c:pt idx="26">
                  <c:v>0.3383421</c:v>
                </c:pt>
                <c:pt idx="27">
                  <c:v>0.1586759</c:v>
                </c:pt>
                <c:pt idx="28">
                  <c:v>0.6248727</c:v>
                </c:pt>
                <c:pt idx="29">
                  <c:v>0.3313808</c:v>
                </c:pt>
                <c:pt idx="30">
                  <c:v>0.0540627</c:v>
                </c:pt>
                <c:pt idx="31">
                  <c:v>0.1408715</c:v>
                </c:pt>
                <c:pt idx="32">
                  <c:v>0.3002366</c:v>
                </c:pt>
                <c:pt idx="33">
                  <c:v>0.2195766</c:v>
                </c:pt>
                <c:pt idx="34">
                  <c:v>0.3533636</c:v>
                </c:pt>
                <c:pt idx="35">
                  <c:v>0.1088607</c:v>
                </c:pt>
                <c:pt idx="36">
                  <c:v>0.3449766</c:v>
                </c:pt>
                <c:pt idx="37">
                  <c:v>0.3822333</c:v>
                </c:pt>
                <c:pt idx="38">
                  <c:v>0.4306508</c:v>
                </c:pt>
                <c:pt idx="39">
                  <c:v>0.4087738</c:v>
                </c:pt>
                <c:pt idx="40">
                  <c:v>0.2214207</c:v>
                </c:pt>
                <c:pt idx="41">
                  <c:v>0.1775787</c:v>
                </c:pt>
                <c:pt idx="42">
                  <c:v>0.2147491</c:v>
                </c:pt>
                <c:pt idx="43">
                  <c:v>0.3229515</c:v>
                </c:pt>
                <c:pt idx="44">
                  <c:v>0.2705879</c:v>
                </c:pt>
                <c:pt idx="45">
                  <c:v>0.1166418</c:v>
                </c:pt>
                <c:pt idx="46">
                  <c:v>0.6900897</c:v>
                </c:pt>
                <c:pt idx="47">
                  <c:v>0.2040727</c:v>
                </c:pt>
                <c:pt idx="48">
                  <c:v>0.2017851</c:v>
                </c:pt>
                <c:pt idx="49">
                  <c:v>0.2863615</c:v>
                </c:pt>
                <c:pt idx="50">
                  <c:v>0.0637661</c:v>
                </c:pt>
                <c:pt idx="51">
                  <c:v>0.1810657</c:v>
                </c:pt>
                <c:pt idx="52">
                  <c:v>0.3052076</c:v>
                </c:pt>
                <c:pt idx="53">
                  <c:v>0.1018853</c:v>
                </c:pt>
                <c:pt idx="54">
                  <c:v>0.1601789</c:v>
                </c:pt>
                <c:pt idx="55">
                  <c:v>0.104268</c:v>
                </c:pt>
                <c:pt idx="56">
                  <c:v>0.4039255</c:v>
                </c:pt>
                <c:pt idx="57">
                  <c:v>0.4892718</c:v>
                </c:pt>
                <c:pt idx="58">
                  <c:v>0.1596923</c:v>
                </c:pt>
                <c:pt idx="59">
                  <c:v>0.4393523</c:v>
                </c:pt>
                <c:pt idx="60">
                  <c:v>0.9152364</c:v>
                </c:pt>
                <c:pt idx="61">
                  <c:v>0.2983268</c:v>
                </c:pt>
                <c:pt idx="62">
                  <c:v>0.4235262</c:v>
                </c:pt>
                <c:pt idx="63">
                  <c:v>0.278416</c:v>
                </c:pt>
                <c:pt idx="64">
                  <c:v>0.3952238</c:v>
                </c:pt>
                <c:pt idx="65">
                  <c:v>0.1747989</c:v>
                </c:pt>
                <c:pt idx="66">
                  <c:v>0.7640301</c:v>
                </c:pt>
                <c:pt idx="67">
                  <c:v>0.4557906</c:v>
                </c:pt>
                <c:pt idx="68">
                  <c:v>0.1931634</c:v>
                </c:pt>
                <c:pt idx="69">
                  <c:v>0.1911284</c:v>
                </c:pt>
                <c:pt idx="70">
                  <c:v>0.295657</c:v>
                </c:pt>
                <c:pt idx="71">
                  <c:v>0.3028034</c:v>
                </c:pt>
                <c:pt idx="72">
                  <c:v>0.1850781</c:v>
                </c:pt>
                <c:pt idx="73">
                  <c:v>0.1876206</c:v>
                </c:pt>
                <c:pt idx="74">
                  <c:v>0.3114394</c:v>
                </c:pt>
                <c:pt idx="75">
                  <c:v>0.2248947</c:v>
                </c:pt>
                <c:pt idx="76">
                  <c:v>0.4524038</c:v>
                </c:pt>
                <c:pt idx="77">
                  <c:v>0.3065779</c:v>
                </c:pt>
                <c:pt idx="78">
                  <c:v>0.2078153</c:v>
                </c:pt>
                <c:pt idx="79">
                  <c:v>0.1468683</c:v>
                </c:pt>
                <c:pt idx="80">
                  <c:v>0.3494502</c:v>
                </c:pt>
                <c:pt idx="81">
                  <c:v>0.4960828</c:v>
                </c:pt>
                <c:pt idx="82">
                  <c:v>0.4750276</c:v>
                </c:pt>
                <c:pt idx="83">
                  <c:v>0.2027241</c:v>
                </c:pt>
                <c:pt idx="84">
                  <c:v>0.3156416</c:v>
                </c:pt>
                <c:pt idx="85">
                  <c:v>0.1076273</c:v>
                </c:pt>
                <c:pt idx="86">
                  <c:v>0.0732079</c:v>
                </c:pt>
                <c:pt idx="87">
                  <c:v>0.3064667</c:v>
                </c:pt>
                <c:pt idx="88">
                  <c:v>0.3936195</c:v>
                </c:pt>
                <c:pt idx="89">
                  <c:v>0.1964807</c:v>
                </c:pt>
                <c:pt idx="90">
                  <c:v>0.3330734</c:v>
                </c:pt>
                <c:pt idx="91">
                  <c:v>0.2747986</c:v>
                </c:pt>
                <c:pt idx="92">
                  <c:v>0.6034388</c:v>
                </c:pt>
                <c:pt idx="93">
                  <c:v>0.3001073</c:v>
                </c:pt>
                <c:pt idx="94">
                  <c:v>0.2082605</c:v>
                </c:pt>
                <c:pt idx="95">
                  <c:v>0.2615056</c:v>
                </c:pt>
                <c:pt idx="96">
                  <c:v>0.1267097</c:v>
                </c:pt>
                <c:pt idx="97">
                  <c:v>0.6728766</c:v>
                </c:pt>
                <c:pt idx="98">
                  <c:v>0.1365193</c:v>
                </c:pt>
                <c:pt idx="99">
                  <c:v>0.4140829</c:v>
                </c:pt>
                <c:pt idx="100">
                  <c:v>0.5080772</c:v>
                </c:pt>
                <c:pt idx="101">
                  <c:v>0.7690595</c:v>
                </c:pt>
                <c:pt idx="102">
                  <c:v>0.3825117</c:v>
                </c:pt>
                <c:pt idx="103">
                  <c:v>0.5130872</c:v>
                </c:pt>
                <c:pt idx="104">
                  <c:v>0.2020599</c:v>
                </c:pt>
                <c:pt idx="105">
                  <c:v>0.9052238</c:v>
                </c:pt>
                <c:pt idx="106">
                  <c:v>0.0298389</c:v>
                </c:pt>
                <c:pt idx="107">
                  <c:v>0.3801839</c:v>
                </c:pt>
                <c:pt idx="108">
                  <c:v>0.2476637</c:v>
                </c:pt>
                <c:pt idx="109">
                  <c:v>0.5374276</c:v>
                </c:pt>
                <c:pt idx="110">
                  <c:v>0.2529252</c:v>
                </c:pt>
                <c:pt idx="111">
                  <c:v>0.0712143</c:v>
                </c:pt>
                <c:pt idx="112">
                  <c:v>0.1426494</c:v>
                </c:pt>
                <c:pt idx="113">
                  <c:v>0.689553</c:v>
                </c:pt>
                <c:pt idx="114">
                  <c:v>0.1263804</c:v>
                </c:pt>
                <c:pt idx="115">
                  <c:v>0.5723824</c:v>
                </c:pt>
                <c:pt idx="116">
                  <c:v>0.3783973</c:v>
                </c:pt>
                <c:pt idx="117">
                  <c:v>0.1863534</c:v>
                </c:pt>
                <c:pt idx="118">
                  <c:v>0.3139039</c:v>
                </c:pt>
                <c:pt idx="119">
                  <c:v>0.51003</c:v>
                </c:pt>
                <c:pt idx="120">
                  <c:v>0.2823738</c:v>
                </c:pt>
                <c:pt idx="121">
                  <c:v>0.2934821</c:v>
                </c:pt>
                <c:pt idx="122">
                  <c:v>0.3206349</c:v>
                </c:pt>
                <c:pt idx="123">
                  <c:v>0.0694272</c:v>
                </c:pt>
                <c:pt idx="124">
                  <c:v>0.5681862</c:v>
                </c:pt>
                <c:pt idx="125">
                  <c:v>0.2459302</c:v>
                </c:pt>
                <c:pt idx="126">
                  <c:v>0.280422</c:v>
                </c:pt>
                <c:pt idx="127">
                  <c:v>0.289979</c:v>
                </c:pt>
                <c:pt idx="128">
                  <c:v>0.146115</c:v>
                </c:pt>
                <c:pt idx="129">
                  <c:v>0.4040596</c:v>
                </c:pt>
                <c:pt idx="130">
                  <c:v>0.0997496</c:v>
                </c:pt>
                <c:pt idx="131">
                  <c:v>0.8068448</c:v>
                </c:pt>
                <c:pt idx="132">
                  <c:v>0.2250876</c:v>
                </c:pt>
                <c:pt idx="133">
                  <c:v>0.2931281</c:v>
                </c:pt>
                <c:pt idx="134">
                  <c:v>0.2207276</c:v>
                </c:pt>
                <c:pt idx="135">
                  <c:v>0.5875161</c:v>
                </c:pt>
                <c:pt idx="136">
                  <c:v>0.3603996</c:v>
                </c:pt>
                <c:pt idx="137">
                  <c:v>0.310729</c:v>
                </c:pt>
                <c:pt idx="138">
                  <c:v>0.0415152</c:v>
                </c:pt>
                <c:pt idx="139">
                  <c:v>0.1132379</c:v>
                </c:pt>
                <c:pt idx="140">
                  <c:v>0.6677941</c:v>
                </c:pt>
                <c:pt idx="141">
                  <c:v>0.3791488</c:v>
                </c:pt>
                <c:pt idx="142">
                  <c:v>0.2204817</c:v>
                </c:pt>
                <c:pt idx="143">
                  <c:v>0.097913</c:v>
                </c:pt>
                <c:pt idx="144">
                  <c:v>0.4509445</c:v>
                </c:pt>
                <c:pt idx="145">
                  <c:v>0.3927706</c:v>
                </c:pt>
                <c:pt idx="146">
                  <c:v>0.263335</c:v>
                </c:pt>
                <c:pt idx="147">
                  <c:v>0.4256351</c:v>
                </c:pt>
                <c:pt idx="148">
                  <c:v>0.2369419</c:v>
                </c:pt>
                <c:pt idx="149">
                  <c:v>0.1377014</c:v>
                </c:pt>
                <c:pt idx="150">
                  <c:v>0.3609498</c:v>
                </c:pt>
                <c:pt idx="151">
                  <c:v>0.1377168</c:v>
                </c:pt>
                <c:pt idx="152">
                  <c:v>0.0943099</c:v>
                </c:pt>
                <c:pt idx="153">
                  <c:v>0.3267466</c:v>
                </c:pt>
                <c:pt idx="154">
                  <c:v>0.8034197</c:v>
                </c:pt>
                <c:pt idx="155">
                  <c:v>0.1158648</c:v>
                </c:pt>
                <c:pt idx="156">
                  <c:v>0.3900365</c:v>
                </c:pt>
                <c:pt idx="157">
                  <c:v>0.4125065</c:v>
                </c:pt>
                <c:pt idx="158">
                  <c:v>0.3368611</c:v>
                </c:pt>
                <c:pt idx="159">
                  <c:v>0.1281143</c:v>
                </c:pt>
                <c:pt idx="160">
                  <c:v>0.3395788</c:v>
                </c:pt>
                <c:pt idx="161">
                  <c:v>0.0566898</c:v>
                </c:pt>
                <c:pt idx="162">
                  <c:v>0.1147117</c:v>
                </c:pt>
                <c:pt idx="163">
                  <c:v>0.5873288</c:v>
                </c:pt>
                <c:pt idx="164">
                  <c:v>0.344531</c:v>
                </c:pt>
                <c:pt idx="165">
                  <c:v>0.4326463</c:v>
                </c:pt>
                <c:pt idx="166">
                  <c:v>0.1985586</c:v>
                </c:pt>
                <c:pt idx="167">
                  <c:v>0.6072742</c:v>
                </c:pt>
                <c:pt idx="168">
                  <c:v>0.2161274</c:v>
                </c:pt>
                <c:pt idx="169">
                  <c:v>0.4779941</c:v>
                </c:pt>
                <c:pt idx="170">
                  <c:v>0.3728248</c:v>
                </c:pt>
                <c:pt idx="171">
                  <c:v>0.4829014</c:v>
                </c:pt>
                <c:pt idx="172">
                  <c:v>0.2419215</c:v>
                </c:pt>
                <c:pt idx="173">
                  <c:v>0.4149659</c:v>
                </c:pt>
                <c:pt idx="174">
                  <c:v>0.3480899</c:v>
                </c:pt>
                <c:pt idx="175">
                  <c:v>0.2726658</c:v>
                </c:pt>
                <c:pt idx="176">
                  <c:v>0.3269717</c:v>
                </c:pt>
                <c:pt idx="177">
                  <c:v>0.0712262</c:v>
                </c:pt>
                <c:pt idx="178">
                  <c:v>0.1380611</c:v>
                </c:pt>
                <c:pt idx="179">
                  <c:v>0.296969</c:v>
                </c:pt>
                <c:pt idx="180">
                  <c:v>0.2111602</c:v>
                </c:pt>
                <c:pt idx="181">
                  <c:v>0.2001078</c:v>
                </c:pt>
                <c:pt idx="182">
                  <c:v>0.6246486</c:v>
                </c:pt>
                <c:pt idx="183">
                  <c:v>0.2330796</c:v>
                </c:pt>
              </c:numCache>
            </c:numRef>
          </c:xVal>
          <c:yVal>
            <c:numRef>
              <c:f>StataData!$R$2:$R$185</c:f>
              <c:numCache>
                <c:formatCode>General</c:formatCode>
                <c:ptCount val="184"/>
                <c:pt idx="0">
                  <c:v>0.065764</c:v>
                </c:pt>
                <c:pt idx="1">
                  <c:v>0.1443616</c:v>
                </c:pt>
                <c:pt idx="2">
                  <c:v>0.2307692</c:v>
                </c:pt>
                <c:pt idx="3">
                  <c:v>0.1261612</c:v>
                </c:pt>
                <c:pt idx="4">
                  <c:v>0.1704423</c:v>
                </c:pt>
                <c:pt idx="5">
                  <c:v>0.2245614</c:v>
                </c:pt>
                <c:pt idx="6">
                  <c:v>0.0082988</c:v>
                </c:pt>
                <c:pt idx="7">
                  <c:v>0.2352941</c:v>
                </c:pt>
                <c:pt idx="8">
                  <c:v>0.1073171</c:v>
                </c:pt>
                <c:pt idx="9">
                  <c:v>0.0394432</c:v>
                </c:pt>
                <c:pt idx="10">
                  <c:v>0.1052632</c:v>
                </c:pt>
                <c:pt idx="11">
                  <c:v>0.1368421</c:v>
                </c:pt>
                <c:pt idx="12">
                  <c:v>0.1815651</c:v>
                </c:pt>
                <c:pt idx="13">
                  <c:v>0.112782</c:v>
                </c:pt>
                <c:pt idx="14">
                  <c:v>0.2027742</c:v>
                </c:pt>
                <c:pt idx="15">
                  <c:v>0.2618352</c:v>
                </c:pt>
                <c:pt idx="16">
                  <c:v>0.174175</c:v>
                </c:pt>
                <c:pt idx="17">
                  <c:v>0.0912951</c:v>
                </c:pt>
                <c:pt idx="18">
                  <c:v>0.1366051</c:v>
                </c:pt>
                <c:pt idx="19">
                  <c:v>0.031068</c:v>
                </c:pt>
                <c:pt idx="20">
                  <c:v>0.0917874</c:v>
                </c:pt>
                <c:pt idx="21">
                  <c:v>0.0754352</c:v>
                </c:pt>
                <c:pt idx="22">
                  <c:v>0.1223629</c:v>
                </c:pt>
                <c:pt idx="23">
                  <c:v>0.0938628</c:v>
                </c:pt>
                <c:pt idx="24">
                  <c:v>0.1390476</c:v>
                </c:pt>
                <c:pt idx="25">
                  <c:v>0.0989215</c:v>
                </c:pt>
                <c:pt idx="26">
                  <c:v>0.1216469</c:v>
                </c:pt>
                <c:pt idx="27">
                  <c:v>0.1882353</c:v>
                </c:pt>
                <c:pt idx="28">
                  <c:v>0.1428571</c:v>
                </c:pt>
                <c:pt idx="29">
                  <c:v>0.1371429</c:v>
                </c:pt>
                <c:pt idx="30">
                  <c:v>0.3176471</c:v>
                </c:pt>
                <c:pt idx="31">
                  <c:v>0.1694092</c:v>
                </c:pt>
                <c:pt idx="32">
                  <c:v>0.0685155</c:v>
                </c:pt>
                <c:pt idx="33">
                  <c:v>0.158516</c:v>
                </c:pt>
                <c:pt idx="34">
                  <c:v>0.1010309</c:v>
                </c:pt>
                <c:pt idx="35">
                  <c:v>0.2433898</c:v>
                </c:pt>
                <c:pt idx="36">
                  <c:v>0.0451977</c:v>
                </c:pt>
                <c:pt idx="37">
                  <c:v>0.0842333</c:v>
                </c:pt>
                <c:pt idx="38">
                  <c:v>0.1062124</c:v>
                </c:pt>
                <c:pt idx="39">
                  <c:v>0.1180124</c:v>
                </c:pt>
                <c:pt idx="40">
                  <c:v>0.0926829</c:v>
                </c:pt>
                <c:pt idx="41">
                  <c:v>0.1403509</c:v>
                </c:pt>
                <c:pt idx="42">
                  <c:v>0.1253488</c:v>
                </c:pt>
                <c:pt idx="43">
                  <c:v>0.1067367</c:v>
                </c:pt>
                <c:pt idx="44">
                  <c:v>0.1120794</c:v>
                </c:pt>
                <c:pt idx="45">
                  <c:v>0.2108716</c:v>
                </c:pt>
                <c:pt idx="46">
                  <c:v>0.0632911</c:v>
                </c:pt>
                <c:pt idx="47">
                  <c:v>0.1022222</c:v>
                </c:pt>
                <c:pt idx="48">
                  <c:v>0.109215</c:v>
                </c:pt>
                <c:pt idx="49">
                  <c:v>0.1566265</c:v>
                </c:pt>
                <c:pt idx="50">
                  <c:v>0.2609819</c:v>
                </c:pt>
                <c:pt idx="51">
                  <c:v>0.1888325</c:v>
                </c:pt>
                <c:pt idx="52">
                  <c:v>0.143155</c:v>
                </c:pt>
                <c:pt idx="53">
                  <c:v>0.2243142</c:v>
                </c:pt>
                <c:pt idx="54">
                  <c:v>0.0697674</c:v>
                </c:pt>
                <c:pt idx="55">
                  <c:v>0.2303848</c:v>
                </c:pt>
                <c:pt idx="56">
                  <c:v>0.0712871</c:v>
                </c:pt>
                <c:pt idx="57">
                  <c:v>0.0474934</c:v>
                </c:pt>
                <c:pt idx="58">
                  <c:v>0.1575758</c:v>
                </c:pt>
                <c:pt idx="59">
                  <c:v>0.0530973</c:v>
                </c:pt>
                <c:pt idx="60">
                  <c:v>0.030303</c:v>
                </c:pt>
                <c:pt idx="61">
                  <c:v>0.0967329</c:v>
                </c:pt>
                <c:pt idx="62">
                  <c:v>0.1636364</c:v>
                </c:pt>
                <c:pt idx="63">
                  <c:v>0.1728395</c:v>
                </c:pt>
                <c:pt idx="64">
                  <c:v>0.0798722</c:v>
                </c:pt>
                <c:pt idx="65">
                  <c:v>0.0788177</c:v>
                </c:pt>
                <c:pt idx="66">
                  <c:v>0.0444444</c:v>
                </c:pt>
                <c:pt idx="67">
                  <c:v>0.0383632</c:v>
                </c:pt>
                <c:pt idx="68">
                  <c:v>0.2193772</c:v>
                </c:pt>
                <c:pt idx="69">
                  <c:v>0.1298701</c:v>
                </c:pt>
                <c:pt idx="70">
                  <c:v>0.1791045</c:v>
                </c:pt>
                <c:pt idx="71">
                  <c:v>0.0639175</c:v>
                </c:pt>
                <c:pt idx="72">
                  <c:v>0.2141998</c:v>
                </c:pt>
                <c:pt idx="73">
                  <c:v>0.1323283</c:v>
                </c:pt>
                <c:pt idx="74">
                  <c:v>0.0889292</c:v>
                </c:pt>
                <c:pt idx="75">
                  <c:v>0.1430313</c:v>
                </c:pt>
                <c:pt idx="76">
                  <c:v>0.0693642</c:v>
                </c:pt>
                <c:pt idx="77">
                  <c:v>0.1561772</c:v>
                </c:pt>
                <c:pt idx="78">
                  <c:v>0.1055807</c:v>
                </c:pt>
                <c:pt idx="79">
                  <c:v>0.2445415</c:v>
                </c:pt>
                <c:pt idx="80">
                  <c:v>0.1553398</c:v>
                </c:pt>
                <c:pt idx="81">
                  <c:v>0.0701754</c:v>
                </c:pt>
                <c:pt idx="82">
                  <c:v>0.0369515</c:v>
                </c:pt>
                <c:pt idx="83">
                  <c:v>0.1371543</c:v>
                </c:pt>
                <c:pt idx="84">
                  <c:v>0.2054795</c:v>
                </c:pt>
                <c:pt idx="85">
                  <c:v>0.3043478</c:v>
                </c:pt>
                <c:pt idx="86">
                  <c:v>0.2307692</c:v>
                </c:pt>
                <c:pt idx="87">
                  <c:v>0.1161731</c:v>
                </c:pt>
                <c:pt idx="88">
                  <c:v>0.1109185</c:v>
                </c:pt>
                <c:pt idx="89">
                  <c:v>0.1506849</c:v>
                </c:pt>
                <c:pt idx="90">
                  <c:v>0.134715</c:v>
                </c:pt>
                <c:pt idx="91">
                  <c:v>0.1803279</c:v>
                </c:pt>
                <c:pt idx="92">
                  <c:v>0.011583</c:v>
                </c:pt>
                <c:pt idx="93">
                  <c:v>0.1334149</c:v>
                </c:pt>
                <c:pt idx="94">
                  <c:v>0.1278849</c:v>
                </c:pt>
                <c:pt idx="95">
                  <c:v>0.1698113</c:v>
                </c:pt>
                <c:pt idx="96">
                  <c:v>0.2193897</c:v>
                </c:pt>
                <c:pt idx="97">
                  <c:v>0.0935673</c:v>
                </c:pt>
                <c:pt idx="98">
                  <c:v>0.1469194</c:v>
                </c:pt>
                <c:pt idx="99">
                  <c:v>0.0527705</c:v>
                </c:pt>
                <c:pt idx="100">
                  <c:v>0.0884956</c:v>
                </c:pt>
                <c:pt idx="101">
                  <c:v>0.0666667</c:v>
                </c:pt>
                <c:pt idx="102">
                  <c:v>0.0593081</c:v>
                </c:pt>
                <c:pt idx="103">
                  <c:v>0.0275229</c:v>
                </c:pt>
                <c:pt idx="104">
                  <c:v>0.1399267</c:v>
                </c:pt>
                <c:pt idx="105">
                  <c:v>0.037037</c:v>
                </c:pt>
                <c:pt idx="106">
                  <c:v>0.3748928</c:v>
                </c:pt>
                <c:pt idx="107">
                  <c:v>0.1058824</c:v>
                </c:pt>
                <c:pt idx="108">
                  <c:v>0.1189989</c:v>
                </c:pt>
                <c:pt idx="109">
                  <c:v>0.0411862</c:v>
                </c:pt>
                <c:pt idx="110">
                  <c:v>0.1439921</c:v>
                </c:pt>
                <c:pt idx="111">
                  <c:v>0.2681048</c:v>
                </c:pt>
                <c:pt idx="112">
                  <c:v>0.2050708</c:v>
                </c:pt>
                <c:pt idx="113">
                  <c:v>0.0144928</c:v>
                </c:pt>
                <c:pt idx="114">
                  <c:v>0.1813333</c:v>
                </c:pt>
                <c:pt idx="115">
                  <c:v>0.0987654</c:v>
                </c:pt>
                <c:pt idx="116">
                  <c:v>0.070615</c:v>
                </c:pt>
                <c:pt idx="117">
                  <c:v>0.2149254</c:v>
                </c:pt>
                <c:pt idx="118">
                  <c:v>0.0745342</c:v>
                </c:pt>
                <c:pt idx="119">
                  <c:v>0.1481481</c:v>
                </c:pt>
                <c:pt idx="120">
                  <c:v>0.2</c:v>
                </c:pt>
                <c:pt idx="121">
                  <c:v>0.0909091</c:v>
                </c:pt>
                <c:pt idx="122">
                  <c:v>0.0847458</c:v>
                </c:pt>
                <c:pt idx="123">
                  <c:v>0.303781</c:v>
                </c:pt>
                <c:pt idx="124">
                  <c:v>0.019802</c:v>
                </c:pt>
                <c:pt idx="125">
                  <c:v>0.17737</c:v>
                </c:pt>
                <c:pt idx="126">
                  <c:v>0.1071081</c:v>
                </c:pt>
                <c:pt idx="127">
                  <c:v>0.1270208</c:v>
                </c:pt>
                <c:pt idx="128">
                  <c:v>0.1818182</c:v>
                </c:pt>
                <c:pt idx="129">
                  <c:v>0.0665543</c:v>
                </c:pt>
                <c:pt idx="130">
                  <c:v>0.3319838</c:v>
                </c:pt>
                <c:pt idx="131">
                  <c:v>0.027027</c:v>
                </c:pt>
                <c:pt idx="132">
                  <c:v>0.112453</c:v>
                </c:pt>
                <c:pt idx="133">
                  <c:v>0.1036545</c:v>
                </c:pt>
                <c:pt idx="134">
                  <c:v>0.1280228</c:v>
                </c:pt>
                <c:pt idx="135">
                  <c:v>0.1298701</c:v>
                </c:pt>
                <c:pt idx="136">
                  <c:v>0.0465116</c:v>
                </c:pt>
                <c:pt idx="137">
                  <c:v>0.1234043</c:v>
                </c:pt>
                <c:pt idx="138">
                  <c:v>0.3468635</c:v>
                </c:pt>
                <c:pt idx="139">
                  <c:v>0.2579583</c:v>
                </c:pt>
                <c:pt idx="140">
                  <c:v>0.1081081</c:v>
                </c:pt>
                <c:pt idx="141">
                  <c:v>0.0788091</c:v>
                </c:pt>
                <c:pt idx="142">
                  <c:v>0.1545236</c:v>
                </c:pt>
                <c:pt idx="143">
                  <c:v>0.2227466</c:v>
                </c:pt>
                <c:pt idx="144">
                  <c:v>0.0546075</c:v>
                </c:pt>
                <c:pt idx="145">
                  <c:v>0.056</c:v>
                </c:pt>
                <c:pt idx="146">
                  <c:v>0.119891</c:v>
                </c:pt>
                <c:pt idx="147">
                  <c:v>0.0983607</c:v>
                </c:pt>
                <c:pt idx="148">
                  <c:v>0.1827637</c:v>
                </c:pt>
                <c:pt idx="149">
                  <c:v>0.1681364</c:v>
                </c:pt>
                <c:pt idx="150">
                  <c:v>0.1143524</c:v>
                </c:pt>
                <c:pt idx="151">
                  <c:v>0.2407825</c:v>
                </c:pt>
                <c:pt idx="152">
                  <c:v>0.2570806</c:v>
                </c:pt>
                <c:pt idx="153">
                  <c:v>0.0618337</c:v>
                </c:pt>
                <c:pt idx="154">
                  <c:v>0.0322581</c:v>
                </c:pt>
                <c:pt idx="155">
                  <c:v>0.3442623</c:v>
                </c:pt>
                <c:pt idx="156">
                  <c:v>0.0869565</c:v>
                </c:pt>
                <c:pt idx="157">
                  <c:v>0.0928196</c:v>
                </c:pt>
                <c:pt idx="158">
                  <c:v>0.0769231</c:v>
                </c:pt>
                <c:pt idx="159">
                  <c:v>0.2461294</c:v>
                </c:pt>
                <c:pt idx="160">
                  <c:v>0.1460674</c:v>
                </c:pt>
                <c:pt idx="161">
                  <c:v>0.3328307</c:v>
                </c:pt>
                <c:pt idx="162">
                  <c:v>0.2847059</c:v>
                </c:pt>
                <c:pt idx="163">
                  <c:v>0.0293333</c:v>
                </c:pt>
                <c:pt idx="164">
                  <c:v>0.0705882</c:v>
                </c:pt>
                <c:pt idx="165">
                  <c:v>0.0921659</c:v>
                </c:pt>
                <c:pt idx="166">
                  <c:v>0.1367521</c:v>
                </c:pt>
                <c:pt idx="167">
                  <c:v>0.0864198</c:v>
                </c:pt>
                <c:pt idx="168">
                  <c:v>0.160804</c:v>
                </c:pt>
                <c:pt idx="169">
                  <c:v>0.086233</c:v>
                </c:pt>
                <c:pt idx="170">
                  <c:v>0.1277705</c:v>
                </c:pt>
                <c:pt idx="171">
                  <c:v>0.0123203</c:v>
                </c:pt>
                <c:pt idx="172">
                  <c:v>0.1546392</c:v>
                </c:pt>
                <c:pt idx="173">
                  <c:v>0.1336516</c:v>
                </c:pt>
                <c:pt idx="174">
                  <c:v>0.0424403</c:v>
                </c:pt>
                <c:pt idx="175">
                  <c:v>0.1794872</c:v>
                </c:pt>
                <c:pt idx="176">
                  <c:v>0.0801782</c:v>
                </c:pt>
                <c:pt idx="177">
                  <c:v>0.2820258</c:v>
                </c:pt>
                <c:pt idx="178">
                  <c:v>0.2309538</c:v>
                </c:pt>
                <c:pt idx="179">
                  <c:v>0.1541711</c:v>
                </c:pt>
                <c:pt idx="180">
                  <c:v>0.1818182</c:v>
                </c:pt>
                <c:pt idx="181">
                  <c:v>0.1221952</c:v>
                </c:pt>
                <c:pt idx="182">
                  <c:v>0.0266667</c:v>
                </c:pt>
                <c:pt idx="183">
                  <c:v>0.0712468</c:v>
                </c:pt>
              </c:numCache>
            </c:numRef>
          </c:yVal>
        </c:ser>
        <c:axId val="562877368"/>
        <c:axId val="562799704"/>
      </c:scatterChart>
      <c:valAx>
        <c:axId val="562877368"/>
        <c:scaling>
          <c:orientation val="minMax"/>
          <c:min val="0.0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Treeness</a:t>
                </a:r>
              </a:p>
            </c:rich>
          </c:tx>
        </c:title>
        <c:numFmt formatCode="General" sourceLinked="1"/>
        <c:tickLblPos val="nextTo"/>
        <c:crossAx val="562799704"/>
        <c:crosses val="autoZero"/>
        <c:crossBetween val="midCat"/>
      </c:valAx>
      <c:valAx>
        <c:axId val="562799704"/>
        <c:scaling>
          <c:orientation val="minMax"/>
          <c:min val="0.0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Alpha</a:t>
                </a:r>
              </a:p>
            </c:rich>
          </c:tx>
        </c:title>
        <c:numFmt formatCode="General" sourceLinked="1"/>
        <c:tickLblPos val="nextTo"/>
        <c:crossAx val="562877368"/>
        <c:crosses val="autoZero"/>
        <c:crossBetween val="midCat"/>
      </c:valAx>
    </c:plotArea>
    <c:plotVisOnly val="1"/>
  </c:char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US"/>
  <c:style val="12"/>
  <c:chart>
    <c:title>
      <c:tx>
        <c:rich>
          <a:bodyPr/>
          <a:lstStyle/>
          <a:p>
            <a:pPr>
              <a:defRPr/>
            </a:pPr>
            <a:r>
              <a:rPr lang="en-US"/>
              <a:t>Circuity vs. Treeness</a:t>
            </a:r>
          </a:p>
        </c:rich>
      </c:tx>
    </c:title>
    <c:plotArea>
      <c:layout/>
      <c:scatterChart>
        <c:scatterStyle val="lineMarker"/>
        <c:ser>
          <c:idx val="0"/>
          <c:order val="0"/>
          <c:tx>
            <c:strRef>
              <c:f>StataData!$BI$1</c:f>
              <c:strCache>
                <c:ptCount val="1"/>
                <c:pt idx="0">
                  <c:v>avg_tt</c:v>
                </c:pt>
              </c:strCache>
            </c:strRef>
          </c:tx>
          <c:spPr>
            <a:ln w="47625">
              <a:noFill/>
            </a:ln>
          </c:spPr>
          <c:marker>
            <c:symbol val="circle"/>
            <c:size val="6"/>
          </c:marker>
          <c:trendline>
            <c:spPr>
              <a:ln w="25400">
                <a:solidFill>
                  <a:srgbClr val="0000FF"/>
                </a:solidFill>
              </a:ln>
            </c:spPr>
            <c:trendlineType val="power"/>
            <c:dispRSqr val="1"/>
            <c:dispEq val="1"/>
            <c:trendlineLbl>
              <c:layout>
                <c:manualLayout>
                  <c:x val="-0.0234526684164479"/>
                  <c:y val="0.0415069458271694"/>
                </c:manualLayout>
              </c:layout>
              <c:numFmt formatCode="General" sourceLinked="0"/>
              <c:spPr>
                <a:noFill/>
              </c:spPr>
              <c:txPr>
                <a:bodyPr/>
                <a:lstStyle/>
                <a:p>
                  <a:pPr>
                    <a:defRPr>
                      <a:solidFill>
                        <a:srgbClr val="0000FF"/>
                      </a:solidFill>
                    </a:defRPr>
                  </a:pPr>
                  <a:endParaRPr lang="en-US"/>
                </a:p>
              </c:txPr>
            </c:trendlineLbl>
          </c:trendline>
          <c:xVal>
            <c:numRef>
              <c:f>StataData!$V$2:$V$185</c:f>
              <c:numCache>
                <c:formatCode>General</c:formatCode>
                <c:ptCount val="184"/>
                <c:pt idx="0">
                  <c:v>0.3594256</c:v>
                </c:pt>
                <c:pt idx="1">
                  <c:v>0.1770647</c:v>
                </c:pt>
                <c:pt idx="2">
                  <c:v>0.1390972</c:v>
                </c:pt>
                <c:pt idx="3">
                  <c:v>0.2116656</c:v>
                </c:pt>
                <c:pt idx="4">
                  <c:v>0.1565084</c:v>
                </c:pt>
                <c:pt idx="5">
                  <c:v>0.2556535</c:v>
                </c:pt>
                <c:pt idx="6">
                  <c:v>0.600069</c:v>
                </c:pt>
                <c:pt idx="7">
                  <c:v>0.2566875</c:v>
                </c:pt>
                <c:pt idx="8">
                  <c:v>0.1950395</c:v>
                </c:pt>
                <c:pt idx="9">
                  <c:v>0.3579702</c:v>
                </c:pt>
                <c:pt idx="10">
                  <c:v>0.6261001</c:v>
                </c:pt>
                <c:pt idx="11">
                  <c:v>0.248531</c:v>
                </c:pt>
                <c:pt idx="12">
                  <c:v>0.1914283</c:v>
                </c:pt>
                <c:pt idx="13">
                  <c:v>0.1918219</c:v>
                </c:pt>
                <c:pt idx="14">
                  <c:v>0.1260429</c:v>
                </c:pt>
                <c:pt idx="15">
                  <c:v>0.0711027</c:v>
                </c:pt>
                <c:pt idx="16">
                  <c:v>0.1279031</c:v>
                </c:pt>
                <c:pt idx="17">
                  <c:v>0.2463206</c:v>
                </c:pt>
                <c:pt idx="18">
                  <c:v>0.2207203</c:v>
                </c:pt>
                <c:pt idx="19">
                  <c:v>0.3747434</c:v>
                </c:pt>
                <c:pt idx="20">
                  <c:v>0.6431491</c:v>
                </c:pt>
                <c:pt idx="21">
                  <c:v>0.2451651</c:v>
                </c:pt>
                <c:pt idx="22">
                  <c:v>0.2664583</c:v>
                </c:pt>
                <c:pt idx="23">
                  <c:v>0.3817437</c:v>
                </c:pt>
                <c:pt idx="24">
                  <c:v>0.1981488</c:v>
                </c:pt>
                <c:pt idx="25">
                  <c:v>0.3902869</c:v>
                </c:pt>
                <c:pt idx="26">
                  <c:v>0.3383421</c:v>
                </c:pt>
                <c:pt idx="27">
                  <c:v>0.1586759</c:v>
                </c:pt>
                <c:pt idx="28">
                  <c:v>0.6248727</c:v>
                </c:pt>
                <c:pt idx="29">
                  <c:v>0.3313808</c:v>
                </c:pt>
                <c:pt idx="30">
                  <c:v>0.0540627</c:v>
                </c:pt>
                <c:pt idx="31">
                  <c:v>0.1408715</c:v>
                </c:pt>
                <c:pt idx="32">
                  <c:v>0.3002366</c:v>
                </c:pt>
                <c:pt idx="33">
                  <c:v>0.2195766</c:v>
                </c:pt>
                <c:pt idx="34">
                  <c:v>0.3533636</c:v>
                </c:pt>
                <c:pt idx="35">
                  <c:v>0.1088607</c:v>
                </c:pt>
                <c:pt idx="36">
                  <c:v>0.3449766</c:v>
                </c:pt>
                <c:pt idx="37">
                  <c:v>0.3822333</c:v>
                </c:pt>
                <c:pt idx="38">
                  <c:v>0.4306508</c:v>
                </c:pt>
                <c:pt idx="39">
                  <c:v>0.4087738</c:v>
                </c:pt>
                <c:pt idx="40">
                  <c:v>0.2214207</c:v>
                </c:pt>
                <c:pt idx="41">
                  <c:v>0.1775787</c:v>
                </c:pt>
                <c:pt idx="42">
                  <c:v>0.2147491</c:v>
                </c:pt>
                <c:pt idx="43">
                  <c:v>0.3229515</c:v>
                </c:pt>
                <c:pt idx="44">
                  <c:v>0.2705879</c:v>
                </c:pt>
                <c:pt idx="45">
                  <c:v>0.1166418</c:v>
                </c:pt>
                <c:pt idx="46">
                  <c:v>0.6900897</c:v>
                </c:pt>
                <c:pt idx="47">
                  <c:v>0.2040727</c:v>
                </c:pt>
                <c:pt idx="48">
                  <c:v>0.2017851</c:v>
                </c:pt>
                <c:pt idx="49">
                  <c:v>0.2863615</c:v>
                </c:pt>
                <c:pt idx="50">
                  <c:v>0.0637661</c:v>
                </c:pt>
                <c:pt idx="51">
                  <c:v>0.1810657</c:v>
                </c:pt>
                <c:pt idx="52">
                  <c:v>0.3052076</c:v>
                </c:pt>
                <c:pt idx="53">
                  <c:v>0.1018853</c:v>
                </c:pt>
                <c:pt idx="54">
                  <c:v>0.1601789</c:v>
                </c:pt>
                <c:pt idx="55">
                  <c:v>0.104268</c:v>
                </c:pt>
                <c:pt idx="56">
                  <c:v>0.4039255</c:v>
                </c:pt>
                <c:pt idx="57">
                  <c:v>0.4892718</c:v>
                </c:pt>
                <c:pt idx="58">
                  <c:v>0.1596923</c:v>
                </c:pt>
                <c:pt idx="59">
                  <c:v>0.4393523</c:v>
                </c:pt>
                <c:pt idx="60">
                  <c:v>0.9152364</c:v>
                </c:pt>
                <c:pt idx="61">
                  <c:v>0.2983268</c:v>
                </c:pt>
                <c:pt idx="62">
                  <c:v>0.4235262</c:v>
                </c:pt>
                <c:pt idx="63">
                  <c:v>0.278416</c:v>
                </c:pt>
                <c:pt idx="64">
                  <c:v>0.3952238</c:v>
                </c:pt>
                <c:pt idx="65">
                  <c:v>0.1747989</c:v>
                </c:pt>
                <c:pt idx="66">
                  <c:v>0.7640301</c:v>
                </c:pt>
                <c:pt idx="67">
                  <c:v>0.4557906</c:v>
                </c:pt>
                <c:pt idx="68">
                  <c:v>0.1931634</c:v>
                </c:pt>
                <c:pt idx="69">
                  <c:v>0.1911284</c:v>
                </c:pt>
                <c:pt idx="70">
                  <c:v>0.295657</c:v>
                </c:pt>
                <c:pt idx="71">
                  <c:v>0.3028034</c:v>
                </c:pt>
                <c:pt idx="72">
                  <c:v>0.1850781</c:v>
                </c:pt>
                <c:pt idx="73">
                  <c:v>0.1876206</c:v>
                </c:pt>
                <c:pt idx="74">
                  <c:v>0.3114394</c:v>
                </c:pt>
                <c:pt idx="75">
                  <c:v>0.2248947</c:v>
                </c:pt>
                <c:pt idx="76">
                  <c:v>0.4524038</c:v>
                </c:pt>
                <c:pt idx="77">
                  <c:v>0.3065779</c:v>
                </c:pt>
                <c:pt idx="78">
                  <c:v>0.2078153</c:v>
                </c:pt>
                <c:pt idx="79">
                  <c:v>0.1468683</c:v>
                </c:pt>
                <c:pt idx="80">
                  <c:v>0.3494502</c:v>
                </c:pt>
                <c:pt idx="81">
                  <c:v>0.4960828</c:v>
                </c:pt>
                <c:pt idx="82">
                  <c:v>0.4750276</c:v>
                </c:pt>
                <c:pt idx="83">
                  <c:v>0.2027241</c:v>
                </c:pt>
                <c:pt idx="84">
                  <c:v>0.3156416</c:v>
                </c:pt>
                <c:pt idx="85">
                  <c:v>0.1076273</c:v>
                </c:pt>
                <c:pt idx="86">
                  <c:v>0.0732079</c:v>
                </c:pt>
                <c:pt idx="87">
                  <c:v>0.3064667</c:v>
                </c:pt>
                <c:pt idx="88">
                  <c:v>0.3936195</c:v>
                </c:pt>
                <c:pt idx="89">
                  <c:v>0.1964807</c:v>
                </c:pt>
                <c:pt idx="90">
                  <c:v>0.3330734</c:v>
                </c:pt>
                <c:pt idx="91">
                  <c:v>0.2747986</c:v>
                </c:pt>
                <c:pt idx="92">
                  <c:v>0.6034388</c:v>
                </c:pt>
                <c:pt idx="93">
                  <c:v>0.3001073</c:v>
                </c:pt>
                <c:pt idx="94">
                  <c:v>0.2082605</c:v>
                </c:pt>
                <c:pt idx="95">
                  <c:v>0.2615056</c:v>
                </c:pt>
                <c:pt idx="96">
                  <c:v>0.1267097</c:v>
                </c:pt>
                <c:pt idx="97">
                  <c:v>0.6728766</c:v>
                </c:pt>
                <c:pt idx="98">
                  <c:v>0.1365193</c:v>
                </c:pt>
                <c:pt idx="99">
                  <c:v>0.4140829</c:v>
                </c:pt>
                <c:pt idx="100">
                  <c:v>0.5080772</c:v>
                </c:pt>
                <c:pt idx="101">
                  <c:v>0.7690595</c:v>
                </c:pt>
                <c:pt idx="102">
                  <c:v>0.3825117</c:v>
                </c:pt>
                <c:pt idx="103">
                  <c:v>0.5130872</c:v>
                </c:pt>
                <c:pt idx="104">
                  <c:v>0.2020599</c:v>
                </c:pt>
                <c:pt idx="105">
                  <c:v>0.9052238</c:v>
                </c:pt>
                <c:pt idx="106">
                  <c:v>0.0298389</c:v>
                </c:pt>
                <c:pt idx="107">
                  <c:v>0.3801839</c:v>
                </c:pt>
                <c:pt idx="108">
                  <c:v>0.2476637</c:v>
                </c:pt>
                <c:pt idx="109">
                  <c:v>0.5374276</c:v>
                </c:pt>
                <c:pt idx="110">
                  <c:v>0.2529252</c:v>
                </c:pt>
                <c:pt idx="111">
                  <c:v>0.0712143</c:v>
                </c:pt>
                <c:pt idx="112">
                  <c:v>0.1426494</c:v>
                </c:pt>
                <c:pt idx="113">
                  <c:v>0.689553</c:v>
                </c:pt>
                <c:pt idx="114">
                  <c:v>0.1263804</c:v>
                </c:pt>
                <c:pt idx="115">
                  <c:v>0.5723824</c:v>
                </c:pt>
                <c:pt idx="116">
                  <c:v>0.3783973</c:v>
                </c:pt>
                <c:pt idx="117">
                  <c:v>0.1863534</c:v>
                </c:pt>
                <c:pt idx="118">
                  <c:v>0.3139039</c:v>
                </c:pt>
                <c:pt idx="119">
                  <c:v>0.51003</c:v>
                </c:pt>
                <c:pt idx="120">
                  <c:v>0.2823738</c:v>
                </c:pt>
                <c:pt idx="121">
                  <c:v>0.2934821</c:v>
                </c:pt>
                <c:pt idx="122">
                  <c:v>0.3206349</c:v>
                </c:pt>
                <c:pt idx="123">
                  <c:v>0.0694272</c:v>
                </c:pt>
                <c:pt idx="124">
                  <c:v>0.5681862</c:v>
                </c:pt>
                <c:pt idx="125">
                  <c:v>0.2459302</c:v>
                </c:pt>
                <c:pt idx="126">
                  <c:v>0.280422</c:v>
                </c:pt>
                <c:pt idx="127">
                  <c:v>0.289979</c:v>
                </c:pt>
                <c:pt idx="128">
                  <c:v>0.146115</c:v>
                </c:pt>
                <c:pt idx="129">
                  <c:v>0.4040596</c:v>
                </c:pt>
                <c:pt idx="130">
                  <c:v>0.0997496</c:v>
                </c:pt>
                <c:pt idx="131">
                  <c:v>0.8068448</c:v>
                </c:pt>
                <c:pt idx="132">
                  <c:v>0.2250876</c:v>
                </c:pt>
                <c:pt idx="133">
                  <c:v>0.2931281</c:v>
                </c:pt>
                <c:pt idx="134">
                  <c:v>0.2207276</c:v>
                </c:pt>
                <c:pt idx="135">
                  <c:v>0.5875161</c:v>
                </c:pt>
                <c:pt idx="136">
                  <c:v>0.3603996</c:v>
                </c:pt>
                <c:pt idx="137">
                  <c:v>0.310729</c:v>
                </c:pt>
                <c:pt idx="138">
                  <c:v>0.0415152</c:v>
                </c:pt>
                <c:pt idx="139">
                  <c:v>0.1132379</c:v>
                </c:pt>
                <c:pt idx="140">
                  <c:v>0.6677941</c:v>
                </c:pt>
                <c:pt idx="141">
                  <c:v>0.3791488</c:v>
                </c:pt>
                <c:pt idx="142">
                  <c:v>0.2204817</c:v>
                </c:pt>
                <c:pt idx="143">
                  <c:v>0.097913</c:v>
                </c:pt>
                <c:pt idx="144">
                  <c:v>0.4509445</c:v>
                </c:pt>
                <c:pt idx="145">
                  <c:v>0.3927706</c:v>
                </c:pt>
                <c:pt idx="146">
                  <c:v>0.263335</c:v>
                </c:pt>
                <c:pt idx="147">
                  <c:v>0.4256351</c:v>
                </c:pt>
                <c:pt idx="148">
                  <c:v>0.2369419</c:v>
                </c:pt>
                <c:pt idx="149">
                  <c:v>0.1377014</c:v>
                </c:pt>
                <c:pt idx="150">
                  <c:v>0.3609498</c:v>
                </c:pt>
                <c:pt idx="151">
                  <c:v>0.1377168</c:v>
                </c:pt>
                <c:pt idx="152">
                  <c:v>0.0943099</c:v>
                </c:pt>
                <c:pt idx="153">
                  <c:v>0.3267466</c:v>
                </c:pt>
                <c:pt idx="154">
                  <c:v>0.8034197</c:v>
                </c:pt>
                <c:pt idx="155">
                  <c:v>0.1158648</c:v>
                </c:pt>
                <c:pt idx="156">
                  <c:v>0.3900365</c:v>
                </c:pt>
                <c:pt idx="157">
                  <c:v>0.4125065</c:v>
                </c:pt>
                <c:pt idx="158">
                  <c:v>0.3368611</c:v>
                </c:pt>
                <c:pt idx="159">
                  <c:v>0.1281143</c:v>
                </c:pt>
                <c:pt idx="160">
                  <c:v>0.3395788</c:v>
                </c:pt>
                <c:pt idx="161">
                  <c:v>0.0566898</c:v>
                </c:pt>
                <c:pt idx="162">
                  <c:v>0.1147117</c:v>
                </c:pt>
                <c:pt idx="163">
                  <c:v>0.5873288</c:v>
                </c:pt>
                <c:pt idx="164">
                  <c:v>0.344531</c:v>
                </c:pt>
                <c:pt idx="165">
                  <c:v>0.4326463</c:v>
                </c:pt>
                <c:pt idx="166">
                  <c:v>0.1985586</c:v>
                </c:pt>
                <c:pt idx="167">
                  <c:v>0.6072742</c:v>
                </c:pt>
                <c:pt idx="168">
                  <c:v>0.2161274</c:v>
                </c:pt>
                <c:pt idx="169">
                  <c:v>0.4779941</c:v>
                </c:pt>
                <c:pt idx="170">
                  <c:v>0.3728248</c:v>
                </c:pt>
                <c:pt idx="171">
                  <c:v>0.4829014</c:v>
                </c:pt>
                <c:pt idx="172">
                  <c:v>0.2419215</c:v>
                </c:pt>
                <c:pt idx="173">
                  <c:v>0.4149659</c:v>
                </c:pt>
                <c:pt idx="174">
                  <c:v>0.3480899</c:v>
                </c:pt>
                <c:pt idx="175">
                  <c:v>0.2726658</c:v>
                </c:pt>
                <c:pt idx="176">
                  <c:v>0.3269717</c:v>
                </c:pt>
                <c:pt idx="177">
                  <c:v>0.0712262</c:v>
                </c:pt>
                <c:pt idx="178">
                  <c:v>0.1380611</c:v>
                </c:pt>
                <c:pt idx="179">
                  <c:v>0.296969</c:v>
                </c:pt>
                <c:pt idx="180">
                  <c:v>0.2111602</c:v>
                </c:pt>
                <c:pt idx="181">
                  <c:v>0.2001078</c:v>
                </c:pt>
                <c:pt idx="182">
                  <c:v>0.6246486</c:v>
                </c:pt>
                <c:pt idx="183">
                  <c:v>0.2330796</c:v>
                </c:pt>
              </c:numCache>
            </c:numRef>
          </c:xVal>
          <c:yVal>
            <c:numRef>
              <c:f>StataData!$AC$2:$AC$185</c:f>
              <c:numCache>
                <c:formatCode>General</c:formatCode>
                <c:ptCount val="184"/>
                <c:pt idx="0">
                  <c:v>1.44</c:v>
                </c:pt>
                <c:pt idx="1">
                  <c:v>1.4</c:v>
                </c:pt>
                <c:pt idx="2">
                  <c:v>1.39</c:v>
                </c:pt>
                <c:pt idx="3">
                  <c:v>1.33</c:v>
                </c:pt>
                <c:pt idx="4">
                  <c:v>1.34</c:v>
                </c:pt>
                <c:pt idx="5">
                  <c:v>1.4</c:v>
                </c:pt>
                <c:pt idx="6">
                  <c:v>1.62</c:v>
                </c:pt>
                <c:pt idx="7">
                  <c:v>1.3</c:v>
                </c:pt>
                <c:pt idx="8">
                  <c:v>1.53</c:v>
                </c:pt>
                <c:pt idx="9">
                  <c:v>1.41</c:v>
                </c:pt>
                <c:pt idx="10">
                  <c:v>1.39</c:v>
                </c:pt>
                <c:pt idx="11">
                  <c:v>1.28</c:v>
                </c:pt>
                <c:pt idx="12">
                  <c:v>1.39</c:v>
                </c:pt>
                <c:pt idx="13">
                  <c:v>1.45</c:v>
                </c:pt>
                <c:pt idx="14">
                  <c:v>1.28</c:v>
                </c:pt>
                <c:pt idx="15">
                  <c:v>1.32</c:v>
                </c:pt>
                <c:pt idx="16">
                  <c:v>1.35</c:v>
                </c:pt>
                <c:pt idx="17">
                  <c:v>1.35</c:v>
                </c:pt>
                <c:pt idx="18">
                  <c:v>1.3</c:v>
                </c:pt>
                <c:pt idx="19">
                  <c:v>1.63</c:v>
                </c:pt>
                <c:pt idx="20">
                  <c:v>1.54</c:v>
                </c:pt>
                <c:pt idx="21">
                  <c:v>1.36</c:v>
                </c:pt>
                <c:pt idx="22">
                  <c:v>1.4</c:v>
                </c:pt>
                <c:pt idx="23">
                  <c:v>1.38</c:v>
                </c:pt>
                <c:pt idx="24">
                  <c:v>1.32</c:v>
                </c:pt>
                <c:pt idx="25">
                  <c:v>1.5</c:v>
                </c:pt>
                <c:pt idx="26">
                  <c:v>1.44</c:v>
                </c:pt>
                <c:pt idx="27">
                  <c:v>1.5</c:v>
                </c:pt>
                <c:pt idx="28">
                  <c:v>1.24</c:v>
                </c:pt>
                <c:pt idx="29">
                  <c:v>1.41</c:v>
                </c:pt>
                <c:pt idx="30">
                  <c:v>1.3</c:v>
                </c:pt>
                <c:pt idx="31">
                  <c:v>1.28</c:v>
                </c:pt>
                <c:pt idx="32">
                  <c:v>1.34</c:v>
                </c:pt>
                <c:pt idx="33">
                  <c:v>1.44</c:v>
                </c:pt>
                <c:pt idx="34">
                  <c:v>1.43</c:v>
                </c:pt>
                <c:pt idx="35">
                  <c:v>1.38</c:v>
                </c:pt>
                <c:pt idx="36">
                  <c:v>1.48</c:v>
                </c:pt>
                <c:pt idx="37">
                  <c:v>1.58</c:v>
                </c:pt>
                <c:pt idx="38">
                  <c:v>1.47</c:v>
                </c:pt>
                <c:pt idx="39">
                  <c:v>1.52</c:v>
                </c:pt>
                <c:pt idx="40">
                  <c:v>1.32</c:v>
                </c:pt>
                <c:pt idx="41">
                  <c:v>1.4</c:v>
                </c:pt>
                <c:pt idx="42">
                  <c:v>1.28</c:v>
                </c:pt>
                <c:pt idx="43">
                  <c:v>1.4</c:v>
                </c:pt>
                <c:pt idx="44">
                  <c:v>1.35</c:v>
                </c:pt>
                <c:pt idx="45">
                  <c:v>1.32</c:v>
                </c:pt>
                <c:pt idx="46">
                  <c:v>1.79</c:v>
                </c:pt>
                <c:pt idx="47">
                  <c:v>1.43</c:v>
                </c:pt>
                <c:pt idx="48">
                  <c:v>1.35</c:v>
                </c:pt>
                <c:pt idx="49">
                  <c:v>1.3</c:v>
                </c:pt>
                <c:pt idx="50">
                  <c:v>1.36</c:v>
                </c:pt>
                <c:pt idx="51">
                  <c:v>1.32</c:v>
                </c:pt>
                <c:pt idx="52">
                  <c:v>1.47</c:v>
                </c:pt>
                <c:pt idx="53">
                  <c:v>1.31</c:v>
                </c:pt>
                <c:pt idx="54">
                  <c:v>1.49</c:v>
                </c:pt>
                <c:pt idx="55">
                  <c:v>1.33</c:v>
                </c:pt>
                <c:pt idx="56">
                  <c:v>1.42</c:v>
                </c:pt>
                <c:pt idx="57">
                  <c:v>1.46</c:v>
                </c:pt>
                <c:pt idx="58">
                  <c:v>1.38</c:v>
                </c:pt>
                <c:pt idx="59">
                  <c:v>1.67</c:v>
                </c:pt>
                <c:pt idx="60">
                  <c:v>1.4</c:v>
                </c:pt>
                <c:pt idx="61">
                  <c:v>1.44</c:v>
                </c:pt>
                <c:pt idx="62">
                  <c:v>1.41</c:v>
                </c:pt>
                <c:pt idx="63">
                  <c:v>1.36</c:v>
                </c:pt>
                <c:pt idx="64">
                  <c:v>1.54</c:v>
                </c:pt>
                <c:pt idx="65">
                  <c:v>1.33</c:v>
                </c:pt>
                <c:pt idx="66">
                  <c:v>1.26</c:v>
                </c:pt>
                <c:pt idx="67">
                  <c:v>2.03</c:v>
                </c:pt>
                <c:pt idx="68">
                  <c:v>1.34</c:v>
                </c:pt>
                <c:pt idx="69">
                  <c:v>1.36</c:v>
                </c:pt>
                <c:pt idx="70">
                  <c:v>1.75</c:v>
                </c:pt>
                <c:pt idx="71">
                  <c:v>1.41</c:v>
                </c:pt>
                <c:pt idx="72">
                  <c:v>1.32</c:v>
                </c:pt>
                <c:pt idx="73">
                  <c:v>1.35</c:v>
                </c:pt>
                <c:pt idx="74">
                  <c:v>1.37</c:v>
                </c:pt>
                <c:pt idx="75">
                  <c:v>1.4</c:v>
                </c:pt>
                <c:pt idx="76">
                  <c:v>1.4</c:v>
                </c:pt>
                <c:pt idx="77">
                  <c:v>1.51</c:v>
                </c:pt>
                <c:pt idx="78">
                  <c:v>1.43</c:v>
                </c:pt>
                <c:pt idx="79">
                  <c:v>1.32</c:v>
                </c:pt>
                <c:pt idx="80">
                  <c:v>1.3</c:v>
                </c:pt>
                <c:pt idx="81">
                  <c:v>1.78</c:v>
                </c:pt>
                <c:pt idx="82">
                  <c:v>1.51</c:v>
                </c:pt>
                <c:pt idx="83">
                  <c:v>1.28</c:v>
                </c:pt>
                <c:pt idx="84">
                  <c:v>1.25</c:v>
                </c:pt>
                <c:pt idx="85">
                  <c:v>1.26</c:v>
                </c:pt>
                <c:pt idx="86">
                  <c:v>1.36</c:v>
                </c:pt>
                <c:pt idx="87">
                  <c:v>1.9</c:v>
                </c:pt>
                <c:pt idx="88">
                  <c:v>1.78</c:v>
                </c:pt>
                <c:pt idx="89">
                  <c:v>1.54</c:v>
                </c:pt>
                <c:pt idx="90">
                  <c:v>1.32</c:v>
                </c:pt>
                <c:pt idx="91">
                  <c:v>1.65</c:v>
                </c:pt>
                <c:pt idx="92">
                  <c:v>1.46</c:v>
                </c:pt>
                <c:pt idx="93">
                  <c:v>1.52</c:v>
                </c:pt>
                <c:pt idx="94">
                  <c:v>1.4</c:v>
                </c:pt>
                <c:pt idx="95">
                  <c:v>1.39</c:v>
                </c:pt>
                <c:pt idx="96">
                  <c:v>1.34</c:v>
                </c:pt>
                <c:pt idx="97">
                  <c:v>1.5</c:v>
                </c:pt>
                <c:pt idx="98">
                  <c:v>1.38</c:v>
                </c:pt>
                <c:pt idx="99">
                  <c:v>1.5</c:v>
                </c:pt>
                <c:pt idx="100">
                  <c:v>1.35</c:v>
                </c:pt>
                <c:pt idx="101">
                  <c:v>1.14</c:v>
                </c:pt>
                <c:pt idx="102">
                  <c:v>1.39</c:v>
                </c:pt>
                <c:pt idx="103">
                  <c:v>1.71</c:v>
                </c:pt>
                <c:pt idx="104">
                  <c:v>1.42</c:v>
                </c:pt>
                <c:pt idx="105">
                  <c:v>1.21</c:v>
                </c:pt>
                <c:pt idx="106">
                  <c:v>1.16</c:v>
                </c:pt>
                <c:pt idx="107">
                  <c:v>1.31</c:v>
                </c:pt>
                <c:pt idx="108">
                  <c:v>1.34</c:v>
                </c:pt>
                <c:pt idx="109">
                  <c:v>1.75</c:v>
                </c:pt>
                <c:pt idx="110">
                  <c:v>1.5</c:v>
                </c:pt>
                <c:pt idx="111">
                  <c:v>1.33</c:v>
                </c:pt>
                <c:pt idx="112">
                  <c:v>1.42</c:v>
                </c:pt>
                <c:pt idx="113">
                  <c:v>1.27</c:v>
                </c:pt>
                <c:pt idx="114">
                  <c:v>1.27</c:v>
                </c:pt>
                <c:pt idx="115">
                  <c:v>1.58</c:v>
                </c:pt>
                <c:pt idx="116">
                  <c:v>1.49</c:v>
                </c:pt>
                <c:pt idx="117">
                  <c:v>1.33</c:v>
                </c:pt>
                <c:pt idx="118">
                  <c:v>1.38</c:v>
                </c:pt>
                <c:pt idx="119">
                  <c:v>1.2</c:v>
                </c:pt>
                <c:pt idx="120">
                  <c:v>1.38</c:v>
                </c:pt>
                <c:pt idx="121">
                  <c:v>1.4</c:v>
                </c:pt>
                <c:pt idx="122">
                  <c:v>1.47</c:v>
                </c:pt>
                <c:pt idx="123">
                  <c:v>1.31</c:v>
                </c:pt>
                <c:pt idx="124">
                  <c:v>1.76</c:v>
                </c:pt>
                <c:pt idx="125">
                  <c:v>1.31</c:v>
                </c:pt>
                <c:pt idx="126">
                  <c:v>1.49</c:v>
                </c:pt>
                <c:pt idx="127">
                  <c:v>1.36</c:v>
                </c:pt>
                <c:pt idx="128">
                  <c:v>1.29</c:v>
                </c:pt>
                <c:pt idx="129">
                  <c:v>1.6</c:v>
                </c:pt>
                <c:pt idx="130">
                  <c:v>1.27</c:v>
                </c:pt>
                <c:pt idx="131">
                  <c:v>1.6</c:v>
                </c:pt>
                <c:pt idx="132">
                  <c:v>1.33</c:v>
                </c:pt>
                <c:pt idx="133">
                  <c:v>1.5</c:v>
                </c:pt>
                <c:pt idx="134">
                  <c:v>1.4</c:v>
                </c:pt>
                <c:pt idx="135">
                  <c:v>1.42</c:v>
                </c:pt>
                <c:pt idx="136">
                  <c:v>1.33</c:v>
                </c:pt>
                <c:pt idx="137">
                  <c:v>1.42</c:v>
                </c:pt>
                <c:pt idx="138">
                  <c:v>1.26</c:v>
                </c:pt>
                <c:pt idx="139">
                  <c:v>1.3</c:v>
                </c:pt>
                <c:pt idx="140">
                  <c:v>1.37</c:v>
                </c:pt>
                <c:pt idx="141">
                  <c:v>1.72</c:v>
                </c:pt>
                <c:pt idx="142">
                  <c:v>1.29</c:v>
                </c:pt>
                <c:pt idx="143">
                  <c:v>1.28</c:v>
                </c:pt>
                <c:pt idx="144">
                  <c:v>1.49</c:v>
                </c:pt>
                <c:pt idx="145">
                  <c:v>1.68</c:v>
                </c:pt>
                <c:pt idx="146">
                  <c:v>1.4</c:v>
                </c:pt>
                <c:pt idx="147">
                  <c:v>1.46</c:v>
                </c:pt>
                <c:pt idx="148">
                  <c:v>1.35</c:v>
                </c:pt>
                <c:pt idx="149">
                  <c:v>1.29</c:v>
                </c:pt>
                <c:pt idx="150">
                  <c:v>1.55</c:v>
                </c:pt>
                <c:pt idx="151">
                  <c:v>1.28</c:v>
                </c:pt>
                <c:pt idx="152">
                  <c:v>1.35</c:v>
                </c:pt>
                <c:pt idx="153">
                  <c:v>1.42</c:v>
                </c:pt>
                <c:pt idx="154">
                  <c:v>1.33</c:v>
                </c:pt>
                <c:pt idx="155">
                  <c:v>1.28</c:v>
                </c:pt>
                <c:pt idx="156">
                  <c:v>1.53</c:v>
                </c:pt>
                <c:pt idx="157">
                  <c:v>1.28</c:v>
                </c:pt>
                <c:pt idx="158">
                  <c:v>1.56</c:v>
                </c:pt>
                <c:pt idx="159">
                  <c:v>1.32</c:v>
                </c:pt>
                <c:pt idx="160">
                  <c:v>1.32</c:v>
                </c:pt>
                <c:pt idx="161">
                  <c:v>1.18</c:v>
                </c:pt>
                <c:pt idx="162">
                  <c:v>1.3</c:v>
                </c:pt>
                <c:pt idx="163">
                  <c:v>1.84</c:v>
                </c:pt>
                <c:pt idx="164">
                  <c:v>1.8</c:v>
                </c:pt>
                <c:pt idx="165">
                  <c:v>1.56</c:v>
                </c:pt>
                <c:pt idx="166">
                  <c:v>1.56</c:v>
                </c:pt>
                <c:pt idx="167">
                  <c:v>1.36</c:v>
                </c:pt>
                <c:pt idx="168">
                  <c:v>1.33</c:v>
                </c:pt>
                <c:pt idx="169">
                  <c:v>1.52</c:v>
                </c:pt>
                <c:pt idx="170">
                  <c:v>1.66</c:v>
                </c:pt>
                <c:pt idx="171">
                  <c:v>1.53</c:v>
                </c:pt>
                <c:pt idx="172">
                  <c:v>1.38</c:v>
                </c:pt>
                <c:pt idx="173">
                  <c:v>1.47</c:v>
                </c:pt>
                <c:pt idx="174">
                  <c:v>1.78</c:v>
                </c:pt>
                <c:pt idx="175">
                  <c:v>1.26</c:v>
                </c:pt>
                <c:pt idx="176">
                  <c:v>1.54</c:v>
                </c:pt>
                <c:pt idx="177">
                  <c:v>1.3</c:v>
                </c:pt>
                <c:pt idx="178">
                  <c:v>1.29</c:v>
                </c:pt>
                <c:pt idx="179">
                  <c:v>1.58</c:v>
                </c:pt>
                <c:pt idx="180">
                  <c:v>1.31</c:v>
                </c:pt>
                <c:pt idx="181">
                  <c:v>1.34</c:v>
                </c:pt>
                <c:pt idx="182">
                  <c:v>1.42</c:v>
                </c:pt>
                <c:pt idx="183">
                  <c:v>1.52</c:v>
                </c:pt>
              </c:numCache>
            </c:numRef>
          </c:yVal>
        </c:ser>
        <c:axId val="337473736"/>
        <c:axId val="337461560"/>
      </c:scatterChart>
      <c:valAx>
        <c:axId val="337473736"/>
        <c:scaling>
          <c:orientation val="minMax"/>
          <c:min val="0.0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Treeness</a:t>
                </a:r>
              </a:p>
            </c:rich>
          </c:tx>
        </c:title>
        <c:numFmt formatCode="General" sourceLinked="1"/>
        <c:tickLblPos val="nextTo"/>
        <c:crossAx val="337461560"/>
        <c:crosses val="autoZero"/>
        <c:crossBetween val="midCat"/>
      </c:valAx>
      <c:valAx>
        <c:axId val="337461560"/>
        <c:scaling>
          <c:orientation val="minMax"/>
          <c:min val="1.0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Circuity</a:t>
                </a:r>
              </a:p>
            </c:rich>
          </c:tx>
        </c:title>
        <c:numFmt formatCode="General" sourceLinked="1"/>
        <c:tickLblPos val="nextTo"/>
        <c:crossAx val="337473736"/>
        <c:crosses val="autoZero"/>
        <c:crossBetween val="midCat"/>
      </c:valAx>
    </c:plotArea>
    <c:plotVisOnly val="1"/>
  </c:chart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US"/>
  <c:style val="12"/>
  <c:chart>
    <c:title>
      <c:tx>
        <c:rich>
          <a:bodyPr/>
          <a:lstStyle/>
          <a:p>
            <a:pPr>
              <a:defRPr/>
            </a:pPr>
            <a:r>
              <a:rPr lang="en-US"/>
              <a:t>Completeness vs. Treeness</a:t>
            </a:r>
          </a:p>
        </c:rich>
      </c:tx>
    </c:title>
    <c:plotArea>
      <c:layout/>
      <c:scatterChart>
        <c:scatterStyle val="lineMarker"/>
        <c:ser>
          <c:idx val="0"/>
          <c:order val="0"/>
          <c:tx>
            <c:strRef>
              <c:f>StataData!$BI$1</c:f>
              <c:strCache>
                <c:ptCount val="1"/>
                <c:pt idx="0">
                  <c:v>avg_tt</c:v>
                </c:pt>
              </c:strCache>
            </c:strRef>
          </c:tx>
          <c:spPr>
            <a:ln w="47625">
              <a:noFill/>
            </a:ln>
          </c:spPr>
          <c:marker>
            <c:symbol val="circle"/>
            <c:size val="6"/>
          </c:marker>
          <c:trendline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StataData!$V$2:$V$185</c:f>
              <c:numCache>
                <c:formatCode>General</c:formatCode>
                <c:ptCount val="184"/>
                <c:pt idx="0">
                  <c:v>0.3594256</c:v>
                </c:pt>
                <c:pt idx="1">
                  <c:v>0.1770647</c:v>
                </c:pt>
                <c:pt idx="2">
                  <c:v>0.1390972</c:v>
                </c:pt>
                <c:pt idx="3">
                  <c:v>0.2116656</c:v>
                </c:pt>
                <c:pt idx="4">
                  <c:v>0.1565084</c:v>
                </c:pt>
                <c:pt idx="5">
                  <c:v>0.2556535</c:v>
                </c:pt>
                <c:pt idx="6">
                  <c:v>0.600069</c:v>
                </c:pt>
                <c:pt idx="7">
                  <c:v>0.2566875</c:v>
                </c:pt>
                <c:pt idx="8">
                  <c:v>0.1950395</c:v>
                </c:pt>
                <c:pt idx="9">
                  <c:v>0.3579702</c:v>
                </c:pt>
                <c:pt idx="10">
                  <c:v>0.6261001</c:v>
                </c:pt>
                <c:pt idx="11">
                  <c:v>0.248531</c:v>
                </c:pt>
                <c:pt idx="12">
                  <c:v>0.1914283</c:v>
                </c:pt>
                <c:pt idx="13">
                  <c:v>0.1918219</c:v>
                </c:pt>
                <c:pt idx="14">
                  <c:v>0.1260429</c:v>
                </c:pt>
                <c:pt idx="15">
                  <c:v>0.0711027</c:v>
                </c:pt>
                <c:pt idx="16">
                  <c:v>0.1279031</c:v>
                </c:pt>
                <c:pt idx="17">
                  <c:v>0.2463206</c:v>
                </c:pt>
                <c:pt idx="18">
                  <c:v>0.2207203</c:v>
                </c:pt>
                <c:pt idx="19">
                  <c:v>0.3747434</c:v>
                </c:pt>
                <c:pt idx="20">
                  <c:v>0.6431491</c:v>
                </c:pt>
                <c:pt idx="21">
                  <c:v>0.2451651</c:v>
                </c:pt>
                <c:pt idx="22">
                  <c:v>0.2664583</c:v>
                </c:pt>
                <c:pt idx="23">
                  <c:v>0.3817437</c:v>
                </c:pt>
                <c:pt idx="24">
                  <c:v>0.1981488</c:v>
                </c:pt>
                <c:pt idx="25">
                  <c:v>0.3902869</c:v>
                </c:pt>
                <c:pt idx="26">
                  <c:v>0.3383421</c:v>
                </c:pt>
                <c:pt idx="27">
                  <c:v>0.1586759</c:v>
                </c:pt>
                <c:pt idx="28">
                  <c:v>0.6248727</c:v>
                </c:pt>
                <c:pt idx="29">
                  <c:v>0.3313808</c:v>
                </c:pt>
                <c:pt idx="30">
                  <c:v>0.0540627</c:v>
                </c:pt>
                <c:pt idx="31">
                  <c:v>0.1408715</c:v>
                </c:pt>
                <c:pt idx="32">
                  <c:v>0.3002366</c:v>
                </c:pt>
                <c:pt idx="33">
                  <c:v>0.2195766</c:v>
                </c:pt>
                <c:pt idx="34">
                  <c:v>0.3533636</c:v>
                </c:pt>
                <c:pt idx="35">
                  <c:v>0.1088607</c:v>
                </c:pt>
                <c:pt idx="36">
                  <c:v>0.3449766</c:v>
                </c:pt>
                <c:pt idx="37">
                  <c:v>0.3822333</c:v>
                </c:pt>
                <c:pt idx="38">
                  <c:v>0.4306508</c:v>
                </c:pt>
                <c:pt idx="39">
                  <c:v>0.4087738</c:v>
                </c:pt>
                <c:pt idx="40">
                  <c:v>0.2214207</c:v>
                </c:pt>
                <c:pt idx="41">
                  <c:v>0.1775787</c:v>
                </c:pt>
                <c:pt idx="42">
                  <c:v>0.2147491</c:v>
                </c:pt>
                <c:pt idx="43">
                  <c:v>0.3229515</c:v>
                </c:pt>
                <c:pt idx="44">
                  <c:v>0.2705879</c:v>
                </c:pt>
                <c:pt idx="45">
                  <c:v>0.1166418</c:v>
                </c:pt>
                <c:pt idx="46">
                  <c:v>0.6900897</c:v>
                </c:pt>
                <c:pt idx="47">
                  <c:v>0.2040727</c:v>
                </c:pt>
                <c:pt idx="48">
                  <c:v>0.2017851</c:v>
                </c:pt>
                <c:pt idx="49">
                  <c:v>0.2863615</c:v>
                </c:pt>
                <c:pt idx="50">
                  <c:v>0.0637661</c:v>
                </c:pt>
                <c:pt idx="51">
                  <c:v>0.1810657</c:v>
                </c:pt>
                <c:pt idx="52">
                  <c:v>0.3052076</c:v>
                </c:pt>
                <c:pt idx="53">
                  <c:v>0.1018853</c:v>
                </c:pt>
                <c:pt idx="54">
                  <c:v>0.1601789</c:v>
                </c:pt>
                <c:pt idx="55">
                  <c:v>0.104268</c:v>
                </c:pt>
                <c:pt idx="56">
                  <c:v>0.4039255</c:v>
                </c:pt>
                <c:pt idx="57">
                  <c:v>0.4892718</c:v>
                </c:pt>
                <c:pt idx="58">
                  <c:v>0.1596923</c:v>
                </c:pt>
                <c:pt idx="59">
                  <c:v>0.4393523</c:v>
                </c:pt>
                <c:pt idx="60">
                  <c:v>0.9152364</c:v>
                </c:pt>
                <c:pt idx="61">
                  <c:v>0.2983268</c:v>
                </c:pt>
                <c:pt idx="62">
                  <c:v>0.4235262</c:v>
                </c:pt>
                <c:pt idx="63">
                  <c:v>0.278416</c:v>
                </c:pt>
                <c:pt idx="64">
                  <c:v>0.3952238</c:v>
                </c:pt>
                <c:pt idx="65">
                  <c:v>0.1747989</c:v>
                </c:pt>
                <c:pt idx="66">
                  <c:v>0.7640301</c:v>
                </c:pt>
                <c:pt idx="67">
                  <c:v>0.4557906</c:v>
                </c:pt>
                <c:pt idx="68">
                  <c:v>0.1931634</c:v>
                </c:pt>
                <c:pt idx="69">
                  <c:v>0.1911284</c:v>
                </c:pt>
                <c:pt idx="70">
                  <c:v>0.295657</c:v>
                </c:pt>
                <c:pt idx="71">
                  <c:v>0.3028034</c:v>
                </c:pt>
                <c:pt idx="72">
                  <c:v>0.1850781</c:v>
                </c:pt>
                <c:pt idx="73">
                  <c:v>0.1876206</c:v>
                </c:pt>
                <c:pt idx="74">
                  <c:v>0.3114394</c:v>
                </c:pt>
                <c:pt idx="75">
                  <c:v>0.2248947</c:v>
                </c:pt>
                <c:pt idx="76">
                  <c:v>0.4524038</c:v>
                </c:pt>
                <c:pt idx="77">
                  <c:v>0.3065779</c:v>
                </c:pt>
                <c:pt idx="78">
                  <c:v>0.2078153</c:v>
                </c:pt>
                <c:pt idx="79">
                  <c:v>0.1468683</c:v>
                </c:pt>
                <c:pt idx="80">
                  <c:v>0.3494502</c:v>
                </c:pt>
                <c:pt idx="81">
                  <c:v>0.4960828</c:v>
                </c:pt>
                <c:pt idx="82">
                  <c:v>0.4750276</c:v>
                </c:pt>
                <c:pt idx="83">
                  <c:v>0.2027241</c:v>
                </c:pt>
                <c:pt idx="84">
                  <c:v>0.3156416</c:v>
                </c:pt>
                <c:pt idx="85">
                  <c:v>0.1076273</c:v>
                </c:pt>
                <c:pt idx="86">
                  <c:v>0.0732079</c:v>
                </c:pt>
                <c:pt idx="87">
                  <c:v>0.3064667</c:v>
                </c:pt>
                <c:pt idx="88">
                  <c:v>0.3936195</c:v>
                </c:pt>
                <c:pt idx="89">
                  <c:v>0.1964807</c:v>
                </c:pt>
                <c:pt idx="90">
                  <c:v>0.3330734</c:v>
                </c:pt>
                <c:pt idx="91">
                  <c:v>0.2747986</c:v>
                </c:pt>
                <c:pt idx="92">
                  <c:v>0.6034388</c:v>
                </c:pt>
                <c:pt idx="93">
                  <c:v>0.3001073</c:v>
                </c:pt>
                <c:pt idx="94">
                  <c:v>0.2082605</c:v>
                </c:pt>
                <c:pt idx="95">
                  <c:v>0.2615056</c:v>
                </c:pt>
                <c:pt idx="96">
                  <c:v>0.1267097</c:v>
                </c:pt>
                <c:pt idx="97">
                  <c:v>0.6728766</c:v>
                </c:pt>
                <c:pt idx="98">
                  <c:v>0.1365193</c:v>
                </c:pt>
                <c:pt idx="99">
                  <c:v>0.4140829</c:v>
                </c:pt>
                <c:pt idx="100">
                  <c:v>0.5080772</c:v>
                </c:pt>
                <c:pt idx="101">
                  <c:v>0.7690595</c:v>
                </c:pt>
                <c:pt idx="102">
                  <c:v>0.3825117</c:v>
                </c:pt>
                <c:pt idx="103">
                  <c:v>0.5130872</c:v>
                </c:pt>
                <c:pt idx="104">
                  <c:v>0.2020599</c:v>
                </c:pt>
                <c:pt idx="105">
                  <c:v>0.9052238</c:v>
                </c:pt>
                <c:pt idx="106">
                  <c:v>0.0298389</c:v>
                </c:pt>
                <c:pt idx="107">
                  <c:v>0.3801839</c:v>
                </c:pt>
                <c:pt idx="108">
                  <c:v>0.2476637</c:v>
                </c:pt>
                <c:pt idx="109">
                  <c:v>0.5374276</c:v>
                </c:pt>
                <c:pt idx="110">
                  <c:v>0.2529252</c:v>
                </c:pt>
                <c:pt idx="111">
                  <c:v>0.0712143</c:v>
                </c:pt>
                <c:pt idx="112">
                  <c:v>0.1426494</c:v>
                </c:pt>
                <c:pt idx="113">
                  <c:v>0.689553</c:v>
                </c:pt>
                <c:pt idx="114">
                  <c:v>0.1263804</c:v>
                </c:pt>
                <c:pt idx="115">
                  <c:v>0.5723824</c:v>
                </c:pt>
                <c:pt idx="116">
                  <c:v>0.3783973</c:v>
                </c:pt>
                <c:pt idx="117">
                  <c:v>0.1863534</c:v>
                </c:pt>
                <c:pt idx="118">
                  <c:v>0.3139039</c:v>
                </c:pt>
                <c:pt idx="119">
                  <c:v>0.51003</c:v>
                </c:pt>
                <c:pt idx="120">
                  <c:v>0.2823738</c:v>
                </c:pt>
                <c:pt idx="121">
                  <c:v>0.2934821</c:v>
                </c:pt>
                <c:pt idx="122">
                  <c:v>0.3206349</c:v>
                </c:pt>
                <c:pt idx="123">
                  <c:v>0.0694272</c:v>
                </c:pt>
                <c:pt idx="124">
                  <c:v>0.5681862</c:v>
                </c:pt>
                <c:pt idx="125">
                  <c:v>0.2459302</c:v>
                </c:pt>
                <c:pt idx="126">
                  <c:v>0.280422</c:v>
                </c:pt>
                <c:pt idx="127">
                  <c:v>0.289979</c:v>
                </c:pt>
                <c:pt idx="128">
                  <c:v>0.146115</c:v>
                </c:pt>
                <c:pt idx="129">
                  <c:v>0.4040596</c:v>
                </c:pt>
                <c:pt idx="130">
                  <c:v>0.0997496</c:v>
                </c:pt>
                <c:pt idx="131">
                  <c:v>0.8068448</c:v>
                </c:pt>
                <c:pt idx="132">
                  <c:v>0.2250876</c:v>
                </c:pt>
                <c:pt idx="133">
                  <c:v>0.2931281</c:v>
                </c:pt>
                <c:pt idx="134">
                  <c:v>0.2207276</c:v>
                </c:pt>
                <c:pt idx="135">
                  <c:v>0.5875161</c:v>
                </c:pt>
                <c:pt idx="136">
                  <c:v>0.3603996</c:v>
                </c:pt>
                <c:pt idx="137">
                  <c:v>0.310729</c:v>
                </c:pt>
                <c:pt idx="138">
                  <c:v>0.0415152</c:v>
                </c:pt>
                <c:pt idx="139">
                  <c:v>0.1132379</c:v>
                </c:pt>
                <c:pt idx="140">
                  <c:v>0.6677941</c:v>
                </c:pt>
                <c:pt idx="141">
                  <c:v>0.3791488</c:v>
                </c:pt>
                <c:pt idx="142">
                  <c:v>0.2204817</c:v>
                </c:pt>
                <c:pt idx="143">
                  <c:v>0.097913</c:v>
                </c:pt>
                <c:pt idx="144">
                  <c:v>0.4509445</c:v>
                </c:pt>
                <c:pt idx="145">
                  <c:v>0.3927706</c:v>
                </c:pt>
                <c:pt idx="146">
                  <c:v>0.263335</c:v>
                </c:pt>
                <c:pt idx="147">
                  <c:v>0.4256351</c:v>
                </c:pt>
                <c:pt idx="148">
                  <c:v>0.2369419</c:v>
                </c:pt>
                <c:pt idx="149">
                  <c:v>0.1377014</c:v>
                </c:pt>
                <c:pt idx="150">
                  <c:v>0.3609498</c:v>
                </c:pt>
                <c:pt idx="151">
                  <c:v>0.1377168</c:v>
                </c:pt>
                <c:pt idx="152">
                  <c:v>0.0943099</c:v>
                </c:pt>
                <c:pt idx="153">
                  <c:v>0.3267466</c:v>
                </c:pt>
                <c:pt idx="154">
                  <c:v>0.8034197</c:v>
                </c:pt>
                <c:pt idx="155">
                  <c:v>0.1158648</c:v>
                </c:pt>
                <c:pt idx="156">
                  <c:v>0.3900365</c:v>
                </c:pt>
                <c:pt idx="157">
                  <c:v>0.4125065</c:v>
                </c:pt>
                <c:pt idx="158">
                  <c:v>0.3368611</c:v>
                </c:pt>
                <c:pt idx="159">
                  <c:v>0.1281143</c:v>
                </c:pt>
                <c:pt idx="160">
                  <c:v>0.3395788</c:v>
                </c:pt>
                <c:pt idx="161">
                  <c:v>0.0566898</c:v>
                </c:pt>
                <c:pt idx="162">
                  <c:v>0.1147117</c:v>
                </c:pt>
                <c:pt idx="163">
                  <c:v>0.5873288</c:v>
                </c:pt>
                <c:pt idx="164">
                  <c:v>0.344531</c:v>
                </c:pt>
                <c:pt idx="165">
                  <c:v>0.4326463</c:v>
                </c:pt>
                <c:pt idx="166">
                  <c:v>0.1985586</c:v>
                </c:pt>
                <c:pt idx="167">
                  <c:v>0.6072742</c:v>
                </c:pt>
                <c:pt idx="168">
                  <c:v>0.2161274</c:v>
                </c:pt>
                <c:pt idx="169">
                  <c:v>0.4779941</c:v>
                </c:pt>
                <c:pt idx="170">
                  <c:v>0.3728248</c:v>
                </c:pt>
                <c:pt idx="171">
                  <c:v>0.4829014</c:v>
                </c:pt>
                <c:pt idx="172">
                  <c:v>0.2419215</c:v>
                </c:pt>
                <c:pt idx="173">
                  <c:v>0.4149659</c:v>
                </c:pt>
                <c:pt idx="174">
                  <c:v>0.3480899</c:v>
                </c:pt>
                <c:pt idx="175">
                  <c:v>0.2726658</c:v>
                </c:pt>
                <c:pt idx="176">
                  <c:v>0.3269717</c:v>
                </c:pt>
                <c:pt idx="177">
                  <c:v>0.0712262</c:v>
                </c:pt>
                <c:pt idx="178">
                  <c:v>0.1380611</c:v>
                </c:pt>
                <c:pt idx="179">
                  <c:v>0.296969</c:v>
                </c:pt>
                <c:pt idx="180">
                  <c:v>0.2111602</c:v>
                </c:pt>
                <c:pt idx="181">
                  <c:v>0.2001078</c:v>
                </c:pt>
                <c:pt idx="182">
                  <c:v>0.6246486</c:v>
                </c:pt>
                <c:pt idx="183">
                  <c:v>0.2330796</c:v>
                </c:pt>
              </c:numCache>
            </c:numRef>
          </c:xVal>
          <c:yVal>
            <c:numRef>
              <c:f>StataData!$Y$2:$Y$185</c:f>
              <c:numCache>
                <c:formatCode>General</c:formatCode>
                <c:ptCount val="184"/>
                <c:pt idx="0">
                  <c:v>4.332</c:v>
                </c:pt>
                <c:pt idx="1">
                  <c:v>1.128</c:v>
                </c:pt>
                <c:pt idx="2">
                  <c:v>2.459</c:v>
                </c:pt>
                <c:pt idx="3">
                  <c:v>0.749</c:v>
                </c:pt>
                <c:pt idx="4">
                  <c:v>2.875</c:v>
                </c:pt>
                <c:pt idx="5">
                  <c:v>9.962</c:v>
                </c:pt>
                <c:pt idx="6">
                  <c:v>8.263</c:v>
                </c:pt>
                <c:pt idx="7">
                  <c:v>5.895</c:v>
                </c:pt>
                <c:pt idx="8">
                  <c:v>11.538</c:v>
                </c:pt>
                <c:pt idx="9">
                  <c:v>4.947</c:v>
                </c:pt>
                <c:pt idx="10">
                  <c:v>38.71</c:v>
                </c:pt>
                <c:pt idx="11">
                  <c:v>25.306</c:v>
                </c:pt>
                <c:pt idx="12">
                  <c:v>0.842</c:v>
                </c:pt>
                <c:pt idx="13">
                  <c:v>17.69</c:v>
                </c:pt>
                <c:pt idx="14">
                  <c:v>0.513</c:v>
                </c:pt>
                <c:pt idx="15">
                  <c:v>1.775</c:v>
                </c:pt>
                <c:pt idx="16">
                  <c:v>0.773</c:v>
                </c:pt>
                <c:pt idx="17">
                  <c:v>4.963999999999999</c:v>
                </c:pt>
                <c:pt idx="18">
                  <c:v>0.643</c:v>
                </c:pt>
                <c:pt idx="19">
                  <c:v>4.084</c:v>
                </c:pt>
                <c:pt idx="20">
                  <c:v>11.141</c:v>
                </c:pt>
                <c:pt idx="21">
                  <c:v>4.406</c:v>
                </c:pt>
                <c:pt idx="22">
                  <c:v>10.262</c:v>
                </c:pt>
                <c:pt idx="23">
                  <c:v>8.408999999999998</c:v>
                </c:pt>
                <c:pt idx="24">
                  <c:v>1.617</c:v>
                </c:pt>
                <c:pt idx="25">
                  <c:v>0.889</c:v>
                </c:pt>
                <c:pt idx="26">
                  <c:v>1.546</c:v>
                </c:pt>
                <c:pt idx="27">
                  <c:v>10.555</c:v>
                </c:pt>
                <c:pt idx="28">
                  <c:v>96.154</c:v>
                </c:pt>
                <c:pt idx="29">
                  <c:v>14.107</c:v>
                </c:pt>
                <c:pt idx="30">
                  <c:v>3.475</c:v>
                </c:pt>
                <c:pt idx="31">
                  <c:v>0.721</c:v>
                </c:pt>
                <c:pt idx="32">
                  <c:v>3.678</c:v>
                </c:pt>
                <c:pt idx="33">
                  <c:v>1.476</c:v>
                </c:pt>
                <c:pt idx="34">
                  <c:v>4.901</c:v>
                </c:pt>
                <c:pt idx="35">
                  <c:v>2.008</c:v>
                </c:pt>
                <c:pt idx="36">
                  <c:v>4.067</c:v>
                </c:pt>
                <c:pt idx="37">
                  <c:v>4.989</c:v>
                </c:pt>
                <c:pt idx="38">
                  <c:v>4.806</c:v>
                </c:pt>
                <c:pt idx="39">
                  <c:v>14.84</c:v>
                </c:pt>
                <c:pt idx="40">
                  <c:v>11.264</c:v>
                </c:pt>
                <c:pt idx="41">
                  <c:v>14.498</c:v>
                </c:pt>
                <c:pt idx="42">
                  <c:v>0.536</c:v>
                </c:pt>
                <c:pt idx="43">
                  <c:v>2.113</c:v>
                </c:pt>
                <c:pt idx="44">
                  <c:v>0.592</c:v>
                </c:pt>
                <c:pt idx="45">
                  <c:v>0.887</c:v>
                </c:pt>
                <c:pt idx="46">
                  <c:v>26.713</c:v>
                </c:pt>
                <c:pt idx="47">
                  <c:v>10.45</c:v>
                </c:pt>
                <c:pt idx="48">
                  <c:v>8.163</c:v>
                </c:pt>
                <c:pt idx="49">
                  <c:v>10.311</c:v>
                </c:pt>
                <c:pt idx="50">
                  <c:v>7.745</c:v>
                </c:pt>
                <c:pt idx="51">
                  <c:v>2.781</c:v>
                </c:pt>
                <c:pt idx="52">
                  <c:v>1.781</c:v>
                </c:pt>
                <c:pt idx="53">
                  <c:v>1.554</c:v>
                </c:pt>
                <c:pt idx="54">
                  <c:v>47.101</c:v>
                </c:pt>
                <c:pt idx="55">
                  <c:v>1.456</c:v>
                </c:pt>
                <c:pt idx="56">
                  <c:v>4.477</c:v>
                </c:pt>
                <c:pt idx="57">
                  <c:v>5.699</c:v>
                </c:pt>
                <c:pt idx="58">
                  <c:v>15.406</c:v>
                </c:pt>
                <c:pt idx="59">
                  <c:v>18.703</c:v>
                </c:pt>
                <c:pt idx="60">
                  <c:v>55.556</c:v>
                </c:pt>
                <c:pt idx="61">
                  <c:v>1.524</c:v>
                </c:pt>
                <c:pt idx="62">
                  <c:v>43.678</c:v>
                </c:pt>
                <c:pt idx="63">
                  <c:v>31.008</c:v>
                </c:pt>
                <c:pt idx="64">
                  <c:v>7.284</c:v>
                </c:pt>
                <c:pt idx="65">
                  <c:v>11.109</c:v>
                </c:pt>
                <c:pt idx="66">
                  <c:v>43.33300000000001</c:v>
                </c:pt>
                <c:pt idx="67">
                  <c:v>5.435</c:v>
                </c:pt>
                <c:pt idx="68">
                  <c:v>1.983</c:v>
                </c:pt>
                <c:pt idx="69">
                  <c:v>10.648</c:v>
                </c:pt>
                <c:pt idx="70">
                  <c:v>37.302</c:v>
                </c:pt>
                <c:pt idx="71">
                  <c:v>4.6</c:v>
                </c:pt>
                <c:pt idx="72">
                  <c:v>3.414</c:v>
                </c:pt>
                <c:pt idx="73">
                  <c:v>4.197</c:v>
                </c:pt>
                <c:pt idx="74">
                  <c:v>4.233</c:v>
                </c:pt>
                <c:pt idx="75">
                  <c:v>1.043</c:v>
                </c:pt>
                <c:pt idx="76">
                  <c:v>12.768</c:v>
                </c:pt>
                <c:pt idx="77">
                  <c:v>6.038</c:v>
                </c:pt>
                <c:pt idx="78">
                  <c:v>3.623</c:v>
                </c:pt>
                <c:pt idx="79">
                  <c:v>12.673</c:v>
                </c:pt>
                <c:pt idx="80">
                  <c:v>8.328999999999998</c:v>
                </c:pt>
                <c:pt idx="81">
                  <c:v>36.559</c:v>
                </c:pt>
                <c:pt idx="82">
                  <c:v>4.901</c:v>
                </c:pt>
                <c:pt idx="83">
                  <c:v>0.726</c:v>
                </c:pt>
                <c:pt idx="84">
                  <c:v>35.762</c:v>
                </c:pt>
                <c:pt idx="85">
                  <c:v>26.554</c:v>
                </c:pt>
                <c:pt idx="86">
                  <c:v>19.622</c:v>
                </c:pt>
                <c:pt idx="87">
                  <c:v>1.864</c:v>
                </c:pt>
                <c:pt idx="88">
                  <c:v>4.195</c:v>
                </c:pt>
                <c:pt idx="89">
                  <c:v>5.037</c:v>
                </c:pt>
                <c:pt idx="90">
                  <c:v>12.781</c:v>
                </c:pt>
                <c:pt idx="91">
                  <c:v>40.72</c:v>
                </c:pt>
                <c:pt idx="92">
                  <c:v>7.749</c:v>
                </c:pt>
                <c:pt idx="93">
                  <c:v>3.08</c:v>
                </c:pt>
                <c:pt idx="94">
                  <c:v>0.681</c:v>
                </c:pt>
                <c:pt idx="95">
                  <c:v>16.26</c:v>
                </c:pt>
                <c:pt idx="96">
                  <c:v>1.109</c:v>
                </c:pt>
                <c:pt idx="97">
                  <c:v>13.454</c:v>
                </c:pt>
                <c:pt idx="98">
                  <c:v>11.942</c:v>
                </c:pt>
                <c:pt idx="99">
                  <c:v>5.754</c:v>
                </c:pt>
                <c:pt idx="100">
                  <c:v>19.871</c:v>
                </c:pt>
                <c:pt idx="101">
                  <c:v>111.111</c:v>
                </c:pt>
                <c:pt idx="102">
                  <c:v>3.654</c:v>
                </c:pt>
                <c:pt idx="103">
                  <c:v>18.484</c:v>
                </c:pt>
                <c:pt idx="104">
                  <c:v>1.868</c:v>
                </c:pt>
                <c:pt idx="105">
                  <c:v>66.667</c:v>
                </c:pt>
                <c:pt idx="106">
                  <c:v>0.231</c:v>
                </c:pt>
                <c:pt idx="107">
                  <c:v>26.768</c:v>
                </c:pt>
                <c:pt idx="108">
                  <c:v>0.563</c:v>
                </c:pt>
                <c:pt idx="109">
                  <c:v>3.536</c:v>
                </c:pt>
                <c:pt idx="110">
                  <c:v>2.544</c:v>
                </c:pt>
                <c:pt idx="111">
                  <c:v>4.689999999999999</c:v>
                </c:pt>
                <c:pt idx="112">
                  <c:v>2.094</c:v>
                </c:pt>
                <c:pt idx="113">
                  <c:v>27.778</c:v>
                </c:pt>
                <c:pt idx="114">
                  <c:v>2.41</c:v>
                </c:pt>
                <c:pt idx="115">
                  <c:v>27.685</c:v>
                </c:pt>
                <c:pt idx="116">
                  <c:v>5.136</c:v>
                </c:pt>
                <c:pt idx="117">
                  <c:v>8.388</c:v>
                </c:pt>
                <c:pt idx="118">
                  <c:v>4.706</c:v>
                </c:pt>
                <c:pt idx="119">
                  <c:v>79.167</c:v>
                </c:pt>
                <c:pt idx="120">
                  <c:v>5.704</c:v>
                </c:pt>
                <c:pt idx="121">
                  <c:v>13.866</c:v>
                </c:pt>
                <c:pt idx="122">
                  <c:v>3.574</c:v>
                </c:pt>
                <c:pt idx="123">
                  <c:v>4.159000000000001</c:v>
                </c:pt>
                <c:pt idx="124">
                  <c:v>19.594</c:v>
                </c:pt>
                <c:pt idx="125">
                  <c:v>8.142</c:v>
                </c:pt>
                <c:pt idx="126">
                  <c:v>2.352</c:v>
                </c:pt>
                <c:pt idx="127">
                  <c:v>5.718</c:v>
                </c:pt>
                <c:pt idx="128">
                  <c:v>1.413</c:v>
                </c:pt>
                <c:pt idx="129">
                  <c:v>1.901</c:v>
                </c:pt>
                <c:pt idx="130">
                  <c:v>13.143</c:v>
                </c:pt>
                <c:pt idx="131">
                  <c:v>18.149</c:v>
                </c:pt>
                <c:pt idx="132">
                  <c:v>0.484</c:v>
                </c:pt>
                <c:pt idx="133">
                  <c:v>1.599</c:v>
                </c:pt>
                <c:pt idx="134">
                  <c:v>1.188</c:v>
                </c:pt>
                <c:pt idx="135">
                  <c:v>30.488</c:v>
                </c:pt>
                <c:pt idx="136">
                  <c:v>16.282</c:v>
                </c:pt>
                <c:pt idx="137">
                  <c:v>10.364</c:v>
                </c:pt>
                <c:pt idx="138">
                  <c:v>1.78</c:v>
                </c:pt>
                <c:pt idx="139">
                  <c:v>3.306</c:v>
                </c:pt>
                <c:pt idx="140">
                  <c:v>57.143</c:v>
                </c:pt>
                <c:pt idx="141">
                  <c:v>4.016999999999999</c:v>
                </c:pt>
                <c:pt idx="142">
                  <c:v>2.087</c:v>
                </c:pt>
                <c:pt idx="143">
                  <c:v>1.361</c:v>
                </c:pt>
                <c:pt idx="144">
                  <c:v>7.437</c:v>
                </c:pt>
                <c:pt idx="145">
                  <c:v>5.848</c:v>
                </c:pt>
                <c:pt idx="146">
                  <c:v>1.347</c:v>
                </c:pt>
                <c:pt idx="147">
                  <c:v>35.98500000000001</c:v>
                </c:pt>
                <c:pt idx="148">
                  <c:v>1.349</c:v>
                </c:pt>
                <c:pt idx="149">
                  <c:v>1.566</c:v>
                </c:pt>
                <c:pt idx="150">
                  <c:v>2.849</c:v>
                </c:pt>
                <c:pt idx="151">
                  <c:v>2.22</c:v>
                </c:pt>
                <c:pt idx="152">
                  <c:v>6.512</c:v>
                </c:pt>
                <c:pt idx="153">
                  <c:v>4.738</c:v>
                </c:pt>
                <c:pt idx="154">
                  <c:v>13.291</c:v>
                </c:pt>
                <c:pt idx="155">
                  <c:v>7.795</c:v>
                </c:pt>
                <c:pt idx="156">
                  <c:v>14.105</c:v>
                </c:pt>
                <c:pt idx="157">
                  <c:v>4.113</c:v>
                </c:pt>
                <c:pt idx="158">
                  <c:v>18.852</c:v>
                </c:pt>
                <c:pt idx="159">
                  <c:v>1.182</c:v>
                </c:pt>
                <c:pt idx="160">
                  <c:v>27.29</c:v>
                </c:pt>
                <c:pt idx="161">
                  <c:v>0.264</c:v>
                </c:pt>
                <c:pt idx="162">
                  <c:v>7.281</c:v>
                </c:pt>
                <c:pt idx="163">
                  <c:v>5.569</c:v>
                </c:pt>
                <c:pt idx="164">
                  <c:v>25.253</c:v>
                </c:pt>
                <c:pt idx="165">
                  <c:v>10.647</c:v>
                </c:pt>
                <c:pt idx="166">
                  <c:v>3.089</c:v>
                </c:pt>
                <c:pt idx="167">
                  <c:v>27.132</c:v>
                </c:pt>
                <c:pt idx="168">
                  <c:v>12.91</c:v>
                </c:pt>
                <c:pt idx="169">
                  <c:v>3.519</c:v>
                </c:pt>
                <c:pt idx="170">
                  <c:v>3.25</c:v>
                </c:pt>
                <c:pt idx="171">
                  <c:v>4.165</c:v>
                </c:pt>
                <c:pt idx="172">
                  <c:v>25.49</c:v>
                </c:pt>
                <c:pt idx="173">
                  <c:v>5.969</c:v>
                </c:pt>
                <c:pt idx="174">
                  <c:v>5.675999999999999</c:v>
                </c:pt>
                <c:pt idx="175">
                  <c:v>6.250999999999999</c:v>
                </c:pt>
                <c:pt idx="176">
                  <c:v>5.107</c:v>
                </c:pt>
                <c:pt idx="177">
                  <c:v>3.088</c:v>
                </c:pt>
                <c:pt idx="178">
                  <c:v>1.748</c:v>
                </c:pt>
                <c:pt idx="179">
                  <c:v>2.747</c:v>
                </c:pt>
                <c:pt idx="180">
                  <c:v>18.327</c:v>
                </c:pt>
                <c:pt idx="181">
                  <c:v>0.672</c:v>
                </c:pt>
                <c:pt idx="182">
                  <c:v>26.282</c:v>
                </c:pt>
                <c:pt idx="183">
                  <c:v>5.736</c:v>
                </c:pt>
              </c:numCache>
            </c:numRef>
          </c:yVal>
        </c:ser>
        <c:axId val="564712584"/>
        <c:axId val="564724680"/>
      </c:scatterChart>
      <c:valAx>
        <c:axId val="564712584"/>
        <c:scaling>
          <c:orientation val="minMax"/>
          <c:min val="0.0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Treeness</a:t>
                </a:r>
              </a:p>
            </c:rich>
          </c:tx>
        </c:title>
        <c:numFmt formatCode="General" sourceLinked="1"/>
        <c:tickLblPos val="nextTo"/>
        <c:crossAx val="564724680"/>
        <c:crosses val="autoZero"/>
        <c:crossBetween val="midCat"/>
      </c:valAx>
      <c:valAx>
        <c:axId val="564724680"/>
        <c:scaling>
          <c:orientation val="minMax"/>
          <c:min val="0.0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Completeness*1000</a:t>
                </a:r>
              </a:p>
            </c:rich>
          </c:tx>
        </c:title>
        <c:numFmt formatCode="General" sourceLinked="1"/>
        <c:tickLblPos val="nextTo"/>
        <c:crossAx val="564712584"/>
        <c:crosses val="autoZero"/>
        <c:crossBetween val="midCat"/>
      </c:valAx>
    </c:plotArea>
    <c:plotVisOnly val="1"/>
  </c:chart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US"/>
  <c:style val="12"/>
  <c:chart>
    <c:title>
      <c:tx>
        <c:rich>
          <a:bodyPr/>
          <a:lstStyle/>
          <a:p>
            <a:pPr>
              <a:defRPr/>
            </a:pPr>
            <a:r>
              <a:rPr lang="en-US"/>
              <a:t>Street Density vs. Eta</a:t>
            </a:r>
          </a:p>
        </c:rich>
      </c:tx>
    </c:title>
    <c:plotArea>
      <c:layout/>
      <c:scatterChart>
        <c:scatterStyle val="lineMarker"/>
        <c:ser>
          <c:idx val="0"/>
          <c:order val="0"/>
          <c:tx>
            <c:strRef>
              <c:f>StataData!$BI$1</c:f>
              <c:strCache>
                <c:ptCount val="1"/>
                <c:pt idx="0">
                  <c:v>avg_tt</c:v>
                </c:pt>
              </c:strCache>
            </c:strRef>
          </c:tx>
          <c:spPr>
            <a:ln w="47625">
              <a:noFill/>
            </a:ln>
          </c:spPr>
          <c:marker>
            <c:symbol val="circle"/>
            <c:size val="6"/>
          </c:marker>
          <c:trendline>
            <c:trendlineType val="power"/>
            <c:dispRSqr val="1"/>
            <c:dispEq val="1"/>
            <c:trendlineLbl>
              <c:layout>
                <c:manualLayout>
                  <c:x val="-0.0162109069699621"/>
                  <c:y val="-0.0263072312845945"/>
                </c:manualLayout>
              </c:layout>
              <c:numFmt formatCode="General" sourceLinked="0"/>
            </c:trendlineLbl>
          </c:trendline>
          <c:xVal>
            <c:numRef>
              <c:f>StataData!$U$2:$U$185</c:f>
              <c:numCache>
                <c:formatCode>General</c:formatCode>
                <c:ptCount val="184"/>
                <c:pt idx="0">
                  <c:v>0.4899587</c:v>
                </c:pt>
                <c:pt idx="1">
                  <c:v>0.2482119</c:v>
                </c:pt>
                <c:pt idx="2">
                  <c:v>0.1619584</c:v>
                </c:pt>
                <c:pt idx="3">
                  <c:v>0.1633612</c:v>
                </c:pt>
                <c:pt idx="4">
                  <c:v>0.2579015</c:v>
                </c:pt>
                <c:pt idx="5">
                  <c:v>0.1677622</c:v>
                </c:pt>
                <c:pt idx="6">
                  <c:v>0.3830038</c:v>
                </c:pt>
                <c:pt idx="7">
                  <c:v>0.1629161</c:v>
                </c:pt>
                <c:pt idx="8">
                  <c:v>1.115361</c:v>
                </c:pt>
                <c:pt idx="9">
                  <c:v>0.6125904</c:v>
                </c:pt>
                <c:pt idx="10">
                  <c:v>0.222189</c:v>
                </c:pt>
                <c:pt idx="11">
                  <c:v>0.1395922</c:v>
                </c:pt>
                <c:pt idx="12">
                  <c:v>0.2013153</c:v>
                </c:pt>
                <c:pt idx="13">
                  <c:v>1.071265</c:v>
                </c:pt>
                <c:pt idx="14">
                  <c:v>0.1837195</c:v>
                </c:pt>
                <c:pt idx="15">
                  <c:v>0.1684254</c:v>
                </c:pt>
                <c:pt idx="16">
                  <c:v>0.1958085</c:v>
                </c:pt>
                <c:pt idx="17">
                  <c:v>0.5559053</c:v>
                </c:pt>
                <c:pt idx="18">
                  <c:v>0.1809707</c:v>
                </c:pt>
                <c:pt idx="19">
                  <c:v>0.5625877</c:v>
                </c:pt>
                <c:pt idx="20">
                  <c:v>0.2431433</c:v>
                </c:pt>
                <c:pt idx="21">
                  <c:v>0.4855933</c:v>
                </c:pt>
                <c:pt idx="22">
                  <c:v>0.9330833</c:v>
                </c:pt>
                <c:pt idx="23">
                  <c:v>0.1817937</c:v>
                </c:pt>
                <c:pt idx="24">
                  <c:v>0.1655755</c:v>
                </c:pt>
                <c:pt idx="25">
                  <c:v>0.1740896</c:v>
                </c:pt>
                <c:pt idx="26">
                  <c:v>0.1802262</c:v>
                </c:pt>
                <c:pt idx="27">
                  <c:v>0.1946684</c:v>
                </c:pt>
                <c:pt idx="28">
                  <c:v>0.5088247</c:v>
                </c:pt>
                <c:pt idx="29">
                  <c:v>0.1394471</c:v>
                </c:pt>
                <c:pt idx="30">
                  <c:v>0.1515709</c:v>
                </c:pt>
                <c:pt idx="31">
                  <c:v>0.1789792</c:v>
                </c:pt>
                <c:pt idx="32">
                  <c:v>0.5191128</c:v>
                </c:pt>
                <c:pt idx="33">
                  <c:v>0.2512944</c:v>
                </c:pt>
                <c:pt idx="34">
                  <c:v>0.4216298</c:v>
                </c:pt>
                <c:pt idx="35">
                  <c:v>0.1537863</c:v>
                </c:pt>
                <c:pt idx="36">
                  <c:v>0.5350335</c:v>
                </c:pt>
                <c:pt idx="37">
                  <c:v>0.4099774</c:v>
                </c:pt>
                <c:pt idx="38">
                  <c:v>0.1643192</c:v>
                </c:pt>
                <c:pt idx="39">
                  <c:v>0.3210091</c:v>
                </c:pt>
                <c:pt idx="40">
                  <c:v>0.8162213</c:v>
                </c:pt>
                <c:pt idx="41">
                  <c:v>1.086033</c:v>
                </c:pt>
                <c:pt idx="42">
                  <c:v>0.1797862</c:v>
                </c:pt>
                <c:pt idx="43">
                  <c:v>0.3825859</c:v>
                </c:pt>
                <c:pt idx="44">
                  <c:v>0.1924462</c:v>
                </c:pt>
                <c:pt idx="45">
                  <c:v>0.1674343</c:v>
                </c:pt>
                <c:pt idx="46">
                  <c:v>0.2702379</c:v>
                </c:pt>
                <c:pt idx="47">
                  <c:v>0.8238385</c:v>
                </c:pt>
                <c:pt idx="48">
                  <c:v>0.7469509</c:v>
                </c:pt>
                <c:pt idx="49">
                  <c:v>0.1208659</c:v>
                </c:pt>
                <c:pt idx="50">
                  <c:v>0.1780273</c:v>
                </c:pt>
                <c:pt idx="51">
                  <c:v>0.1972429</c:v>
                </c:pt>
                <c:pt idx="52">
                  <c:v>0.2725034</c:v>
                </c:pt>
                <c:pt idx="53">
                  <c:v>0.1748625</c:v>
                </c:pt>
                <c:pt idx="54">
                  <c:v>0.3728148</c:v>
                </c:pt>
                <c:pt idx="55">
                  <c:v>0.1721673</c:v>
                </c:pt>
                <c:pt idx="56">
                  <c:v>0.5320497</c:v>
                </c:pt>
                <c:pt idx="57">
                  <c:v>0.5066936</c:v>
                </c:pt>
                <c:pt idx="58">
                  <c:v>0.9711087</c:v>
                </c:pt>
                <c:pt idx="59">
                  <c:v>0.1656089</c:v>
                </c:pt>
                <c:pt idx="60">
                  <c:v>0.6870254</c:v>
                </c:pt>
                <c:pt idx="61">
                  <c:v>0.285971</c:v>
                </c:pt>
                <c:pt idx="62">
                  <c:v>0.1390882</c:v>
                </c:pt>
                <c:pt idx="63">
                  <c:v>0.2429998</c:v>
                </c:pt>
                <c:pt idx="64">
                  <c:v>0.6681179</c:v>
                </c:pt>
                <c:pt idx="65">
                  <c:v>0.6646035</c:v>
                </c:pt>
                <c:pt idx="66">
                  <c:v>0.4062619</c:v>
                </c:pt>
                <c:pt idx="67">
                  <c:v>0.5190116</c:v>
                </c:pt>
                <c:pt idx="68">
                  <c:v>0.1613389</c:v>
                </c:pt>
                <c:pt idx="69">
                  <c:v>0.9227523</c:v>
                </c:pt>
                <c:pt idx="70">
                  <c:v>0.1219932</c:v>
                </c:pt>
                <c:pt idx="71">
                  <c:v>0.5758829</c:v>
                </c:pt>
                <c:pt idx="72">
                  <c:v>0.1626612</c:v>
                </c:pt>
                <c:pt idx="73">
                  <c:v>0.4635433</c:v>
                </c:pt>
                <c:pt idx="74">
                  <c:v>0.5290962</c:v>
                </c:pt>
                <c:pt idx="75">
                  <c:v>0.2180381</c:v>
                </c:pt>
                <c:pt idx="76">
                  <c:v>0.4031216</c:v>
                </c:pt>
                <c:pt idx="77">
                  <c:v>0.1685515</c:v>
                </c:pt>
                <c:pt idx="78">
                  <c:v>0.3923258</c:v>
                </c:pt>
                <c:pt idx="79">
                  <c:v>0.1228171</c:v>
                </c:pt>
                <c:pt idx="80">
                  <c:v>0.1730816</c:v>
                </c:pt>
                <c:pt idx="81">
                  <c:v>0.1993022</c:v>
                </c:pt>
                <c:pt idx="82">
                  <c:v>0.4930696</c:v>
                </c:pt>
                <c:pt idx="83">
                  <c:v>0.1959502</c:v>
                </c:pt>
                <c:pt idx="84">
                  <c:v>0.101103</c:v>
                </c:pt>
                <c:pt idx="85">
                  <c:v>0.1449923</c:v>
                </c:pt>
                <c:pt idx="86">
                  <c:v>0.214582</c:v>
                </c:pt>
                <c:pt idx="87">
                  <c:v>0.3073068</c:v>
                </c:pt>
                <c:pt idx="88">
                  <c:v>0.4164339</c:v>
                </c:pt>
                <c:pt idx="89">
                  <c:v>0.2539124</c:v>
                </c:pt>
                <c:pt idx="90">
                  <c:v>0.1758754</c:v>
                </c:pt>
                <c:pt idx="91">
                  <c:v>0.1612933</c:v>
                </c:pt>
                <c:pt idx="92">
                  <c:v>0.4070624</c:v>
                </c:pt>
                <c:pt idx="93">
                  <c:v>0.1553131</c:v>
                </c:pt>
                <c:pt idx="94">
                  <c:v>0.1972228</c:v>
                </c:pt>
                <c:pt idx="95">
                  <c:v>0.1845439</c:v>
                </c:pt>
                <c:pt idx="96">
                  <c:v>0.1897853</c:v>
                </c:pt>
                <c:pt idx="97">
                  <c:v>0.26052</c:v>
                </c:pt>
                <c:pt idx="98">
                  <c:v>0.9720382</c:v>
                </c:pt>
                <c:pt idx="99">
                  <c:v>0.6564994</c:v>
                </c:pt>
                <c:pt idx="100">
                  <c:v>0.1471273</c:v>
                </c:pt>
                <c:pt idx="101">
                  <c:v>0.260946</c:v>
                </c:pt>
                <c:pt idx="102">
                  <c:v>0.4222462</c:v>
                </c:pt>
                <c:pt idx="103">
                  <c:v>0.1118362</c:v>
                </c:pt>
                <c:pt idx="104">
                  <c:v>0.192509</c:v>
                </c:pt>
                <c:pt idx="105">
                  <c:v>0.3566432</c:v>
                </c:pt>
                <c:pt idx="106">
                  <c:v>0.1408899</c:v>
                </c:pt>
                <c:pt idx="107">
                  <c:v>0.2071696</c:v>
                </c:pt>
                <c:pt idx="108">
                  <c:v>0.1905039</c:v>
                </c:pt>
                <c:pt idx="109">
                  <c:v>0.437942</c:v>
                </c:pt>
                <c:pt idx="110">
                  <c:v>0.1235676</c:v>
                </c:pt>
                <c:pt idx="111">
                  <c:v>0.2022159</c:v>
                </c:pt>
                <c:pt idx="112">
                  <c:v>0.1706686</c:v>
                </c:pt>
                <c:pt idx="113">
                  <c:v>0.1895174</c:v>
                </c:pt>
                <c:pt idx="114">
                  <c:v>0.1728534</c:v>
                </c:pt>
                <c:pt idx="115">
                  <c:v>0.1834044</c:v>
                </c:pt>
                <c:pt idx="116">
                  <c:v>0.6216823</c:v>
                </c:pt>
                <c:pt idx="117">
                  <c:v>0.1542713</c:v>
                </c:pt>
                <c:pt idx="118">
                  <c:v>0.6035019</c:v>
                </c:pt>
                <c:pt idx="119">
                  <c:v>0.150295</c:v>
                </c:pt>
                <c:pt idx="120">
                  <c:v>0.1810163</c:v>
                </c:pt>
                <c:pt idx="121">
                  <c:v>0.6138306</c:v>
                </c:pt>
                <c:pt idx="122">
                  <c:v>0.2364106</c:v>
                </c:pt>
                <c:pt idx="123">
                  <c:v>0.1546426</c:v>
                </c:pt>
                <c:pt idx="124">
                  <c:v>0.1263701</c:v>
                </c:pt>
                <c:pt idx="125">
                  <c:v>0.1665404</c:v>
                </c:pt>
                <c:pt idx="126">
                  <c:v>0.3570831</c:v>
                </c:pt>
                <c:pt idx="127">
                  <c:v>0.2009094</c:v>
                </c:pt>
                <c:pt idx="128">
                  <c:v>0.1706872</c:v>
                </c:pt>
                <c:pt idx="129">
                  <c:v>0.260321</c:v>
                </c:pt>
                <c:pt idx="130">
                  <c:v>0.1312079</c:v>
                </c:pt>
                <c:pt idx="131">
                  <c:v>0.2234359</c:v>
                </c:pt>
                <c:pt idx="132">
                  <c:v>0.1827467</c:v>
                </c:pt>
                <c:pt idx="133">
                  <c:v>0.1947312</c:v>
                </c:pt>
                <c:pt idx="134">
                  <c:v>0.2361553</c:v>
                </c:pt>
                <c:pt idx="135">
                  <c:v>0.1988348</c:v>
                </c:pt>
                <c:pt idx="136">
                  <c:v>0.6180419</c:v>
                </c:pt>
                <c:pt idx="137">
                  <c:v>0.5822966</c:v>
                </c:pt>
                <c:pt idx="138">
                  <c:v>0.1529604</c:v>
                </c:pt>
                <c:pt idx="139">
                  <c:v>0.147764</c:v>
                </c:pt>
                <c:pt idx="140">
                  <c:v>0.228021</c:v>
                </c:pt>
                <c:pt idx="141">
                  <c:v>0.2175032</c:v>
                </c:pt>
                <c:pt idx="142">
                  <c:v>0.2828008</c:v>
                </c:pt>
                <c:pt idx="143">
                  <c:v>0.1945794</c:v>
                </c:pt>
                <c:pt idx="144">
                  <c:v>0.5704308</c:v>
                </c:pt>
                <c:pt idx="145">
                  <c:v>0.6293048</c:v>
                </c:pt>
                <c:pt idx="146">
                  <c:v>0.185347</c:v>
                </c:pt>
                <c:pt idx="147">
                  <c:v>1.431577</c:v>
                </c:pt>
                <c:pt idx="148">
                  <c:v>0.2031047</c:v>
                </c:pt>
                <c:pt idx="149">
                  <c:v>0.1888724</c:v>
                </c:pt>
                <c:pt idx="150">
                  <c:v>0.1914173</c:v>
                </c:pt>
                <c:pt idx="151">
                  <c:v>0.1498607</c:v>
                </c:pt>
                <c:pt idx="152">
                  <c:v>0.1783028</c:v>
                </c:pt>
                <c:pt idx="153">
                  <c:v>0.5788531</c:v>
                </c:pt>
                <c:pt idx="154">
                  <c:v>0.1227662</c:v>
                </c:pt>
                <c:pt idx="155">
                  <c:v>0.1701145</c:v>
                </c:pt>
                <c:pt idx="156">
                  <c:v>0.1930701</c:v>
                </c:pt>
                <c:pt idx="157">
                  <c:v>0.3812651</c:v>
                </c:pt>
                <c:pt idx="158">
                  <c:v>0.8218374</c:v>
                </c:pt>
                <c:pt idx="159">
                  <c:v>0.1570099</c:v>
                </c:pt>
                <c:pt idx="160">
                  <c:v>0.1392503</c:v>
                </c:pt>
                <c:pt idx="161">
                  <c:v>0.1446479</c:v>
                </c:pt>
                <c:pt idx="162">
                  <c:v>0.1722338</c:v>
                </c:pt>
                <c:pt idx="163">
                  <c:v>0.4885848</c:v>
                </c:pt>
                <c:pt idx="164">
                  <c:v>0.386451</c:v>
                </c:pt>
                <c:pt idx="165">
                  <c:v>0.1538612</c:v>
                </c:pt>
                <c:pt idx="166">
                  <c:v>0.2399595</c:v>
                </c:pt>
                <c:pt idx="167">
                  <c:v>0.1858793</c:v>
                </c:pt>
                <c:pt idx="168">
                  <c:v>1.002399</c:v>
                </c:pt>
                <c:pt idx="169">
                  <c:v>0.1956498</c:v>
                </c:pt>
                <c:pt idx="170">
                  <c:v>0.1370868</c:v>
                </c:pt>
                <c:pt idx="171">
                  <c:v>0.4837081</c:v>
                </c:pt>
                <c:pt idx="172">
                  <c:v>0.9451382</c:v>
                </c:pt>
                <c:pt idx="173">
                  <c:v>0.1332007</c:v>
                </c:pt>
                <c:pt idx="174">
                  <c:v>0.6507167</c:v>
                </c:pt>
                <c:pt idx="175">
                  <c:v>0.2123268</c:v>
                </c:pt>
                <c:pt idx="176">
                  <c:v>0.4077324</c:v>
                </c:pt>
                <c:pt idx="177">
                  <c:v>0.1635922</c:v>
                </c:pt>
                <c:pt idx="178">
                  <c:v>0.1618894</c:v>
                </c:pt>
                <c:pt idx="179">
                  <c:v>0.20924</c:v>
                </c:pt>
                <c:pt idx="180">
                  <c:v>0.0801476</c:v>
                </c:pt>
                <c:pt idx="181">
                  <c:v>0.187224</c:v>
                </c:pt>
                <c:pt idx="182">
                  <c:v>0.2006145</c:v>
                </c:pt>
                <c:pt idx="183">
                  <c:v>0.6602525</c:v>
                </c:pt>
              </c:numCache>
            </c:numRef>
          </c:xVal>
          <c:yVal>
            <c:numRef>
              <c:f>StataData!$AL$2:$AL$185</c:f>
              <c:numCache>
                <c:formatCode>General</c:formatCode>
                <c:ptCount val="184"/>
                <c:pt idx="0">
                  <c:v>2.0</c:v>
                </c:pt>
                <c:pt idx="1">
                  <c:v>4.0</c:v>
                </c:pt>
                <c:pt idx="2">
                  <c:v>8.0</c:v>
                </c:pt>
                <c:pt idx="3">
                  <c:v>8.0</c:v>
                </c:pt>
                <c:pt idx="4">
                  <c:v>6.0</c:v>
                </c:pt>
                <c:pt idx="5">
                  <c:v>8.0</c:v>
                </c:pt>
                <c:pt idx="6">
                  <c:v>2.0</c:v>
                </c:pt>
                <c:pt idx="7">
                  <c:v>5.0</c:v>
                </c:pt>
                <c:pt idx="8">
                  <c:v>1.0</c:v>
                </c:pt>
                <c:pt idx="9">
                  <c:v>2.0</c:v>
                </c:pt>
                <c:pt idx="10">
                  <c:v>3.0</c:v>
                </c:pt>
                <c:pt idx="11">
                  <c:v>10.0</c:v>
                </c:pt>
                <c:pt idx="12">
                  <c:v>5.0</c:v>
                </c:pt>
                <c:pt idx="13">
                  <c:v>1.0</c:v>
                </c:pt>
                <c:pt idx="14">
                  <c:v>7.0</c:v>
                </c:pt>
                <c:pt idx="15">
                  <c:v>10.0</c:v>
                </c:pt>
                <c:pt idx="16">
                  <c:v>7.0</c:v>
                </c:pt>
                <c:pt idx="17">
                  <c:v>2.0</c:v>
                </c:pt>
                <c:pt idx="18">
                  <c:v>7.0</c:v>
                </c:pt>
                <c:pt idx="19">
                  <c:v>2.0</c:v>
                </c:pt>
                <c:pt idx="20">
                  <c:v>3.0</c:v>
                </c:pt>
                <c:pt idx="21">
                  <c:v>2.0</c:v>
                </c:pt>
                <c:pt idx="22">
                  <c:v>1.0</c:v>
                </c:pt>
                <c:pt idx="23">
                  <c:v>5.0</c:v>
                </c:pt>
                <c:pt idx="24">
                  <c:v>7.0</c:v>
                </c:pt>
                <c:pt idx="25">
                  <c:v>5.0</c:v>
                </c:pt>
                <c:pt idx="26">
                  <c:v>5.0</c:v>
                </c:pt>
                <c:pt idx="27">
                  <c:v>7.0</c:v>
                </c:pt>
                <c:pt idx="28">
                  <c:v>2.0</c:v>
                </c:pt>
                <c:pt idx="29">
                  <c:v>7.0</c:v>
                </c:pt>
                <c:pt idx="30">
                  <c:v>13.0</c:v>
                </c:pt>
                <c:pt idx="31">
                  <c:v>7.0</c:v>
                </c:pt>
                <c:pt idx="32">
                  <c:v>2.0</c:v>
                </c:pt>
                <c:pt idx="33">
                  <c:v>3.0</c:v>
                </c:pt>
                <c:pt idx="34">
                  <c:v>2.0</c:v>
                </c:pt>
                <c:pt idx="35">
                  <c:v>11.0</c:v>
                </c:pt>
                <c:pt idx="36">
                  <c:v>2.0</c:v>
                </c:pt>
                <c:pt idx="37">
                  <c:v>2.0</c:v>
                </c:pt>
                <c:pt idx="38">
                  <c:v>5.0</c:v>
                </c:pt>
                <c:pt idx="39">
                  <c:v>4.0</c:v>
                </c:pt>
                <c:pt idx="40">
                  <c:v>1.0</c:v>
                </c:pt>
                <c:pt idx="41">
                  <c:v>1.0</c:v>
                </c:pt>
                <c:pt idx="42">
                  <c:v>6.0</c:v>
                </c:pt>
                <c:pt idx="43">
                  <c:v>2.0</c:v>
                </c:pt>
                <c:pt idx="44">
                  <c:v>5.0</c:v>
                </c:pt>
                <c:pt idx="45">
                  <c:v>9.0</c:v>
                </c:pt>
                <c:pt idx="46">
                  <c:v>3.0</c:v>
                </c:pt>
                <c:pt idx="47">
                  <c:v>1.0</c:v>
                </c:pt>
                <c:pt idx="48">
                  <c:v>1.0</c:v>
                </c:pt>
                <c:pt idx="49">
                  <c:v>9.0</c:v>
                </c:pt>
                <c:pt idx="50">
                  <c:v>9.0</c:v>
                </c:pt>
                <c:pt idx="51">
                  <c:v>4.0</c:v>
                </c:pt>
                <c:pt idx="52">
                  <c:v>3.0</c:v>
                </c:pt>
                <c:pt idx="53">
                  <c:v>8.0</c:v>
                </c:pt>
                <c:pt idx="54">
                  <c:v>3.0</c:v>
                </c:pt>
                <c:pt idx="55">
                  <c:v>9.0</c:v>
                </c:pt>
                <c:pt idx="56">
                  <c:v>2.0</c:v>
                </c:pt>
                <c:pt idx="57">
                  <c:v>2.0</c:v>
                </c:pt>
                <c:pt idx="58">
                  <c:v>1.0</c:v>
                </c:pt>
                <c:pt idx="59">
                  <c:v>4.0</c:v>
                </c:pt>
                <c:pt idx="60">
                  <c:v>1.0</c:v>
                </c:pt>
                <c:pt idx="61">
                  <c:v>3.0</c:v>
                </c:pt>
                <c:pt idx="62">
                  <c:v>11.0</c:v>
                </c:pt>
                <c:pt idx="63">
                  <c:v>4.0</c:v>
                </c:pt>
                <c:pt idx="64">
                  <c:v>1.0</c:v>
                </c:pt>
                <c:pt idx="65">
                  <c:v>2.0</c:v>
                </c:pt>
                <c:pt idx="66">
                  <c:v>2.0</c:v>
                </c:pt>
                <c:pt idx="67">
                  <c:v>2.0</c:v>
                </c:pt>
                <c:pt idx="68">
                  <c:v>6.0</c:v>
                </c:pt>
                <c:pt idx="69">
                  <c:v>2.0</c:v>
                </c:pt>
                <c:pt idx="70">
                  <c:v>17.0</c:v>
                </c:pt>
                <c:pt idx="71">
                  <c:v>2.0</c:v>
                </c:pt>
                <c:pt idx="72">
                  <c:v>9.0</c:v>
                </c:pt>
                <c:pt idx="73">
                  <c:v>2.0</c:v>
                </c:pt>
                <c:pt idx="74">
                  <c:v>2.0</c:v>
                </c:pt>
                <c:pt idx="75">
                  <c:v>4.0</c:v>
                </c:pt>
                <c:pt idx="76">
                  <c:v>2.0</c:v>
                </c:pt>
                <c:pt idx="77">
                  <c:v>7.0</c:v>
                </c:pt>
                <c:pt idx="78">
                  <c:v>3.0</c:v>
                </c:pt>
                <c:pt idx="79">
                  <c:v>8.0</c:v>
                </c:pt>
                <c:pt idx="80">
                  <c:v>5.0</c:v>
                </c:pt>
                <c:pt idx="81">
                  <c:v>4.0</c:v>
                </c:pt>
                <c:pt idx="82">
                  <c:v>1.0</c:v>
                </c:pt>
                <c:pt idx="83">
                  <c:v>4.0</c:v>
                </c:pt>
                <c:pt idx="84">
                  <c:v>25.0</c:v>
                </c:pt>
                <c:pt idx="85">
                  <c:v>13.0</c:v>
                </c:pt>
                <c:pt idx="86">
                  <c:v>13.0</c:v>
                </c:pt>
                <c:pt idx="87">
                  <c:v>3.0</c:v>
                </c:pt>
                <c:pt idx="88">
                  <c:v>2.0</c:v>
                </c:pt>
                <c:pt idx="89">
                  <c:v>7.0</c:v>
                </c:pt>
                <c:pt idx="90">
                  <c:v>9.0</c:v>
                </c:pt>
                <c:pt idx="91">
                  <c:v>10.0</c:v>
                </c:pt>
                <c:pt idx="92">
                  <c:v>1.0</c:v>
                </c:pt>
                <c:pt idx="93">
                  <c:v>5.0</c:v>
                </c:pt>
                <c:pt idx="94">
                  <c:v>5.0</c:v>
                </c:pt>
                <c:pt idx="95">
                  <c:v>7.0</c:v>
                </c:pt>
                <c:pt idx="96">
                  <c:v>8.0</c:v>
                </c:pt>
                <c:pt idx="97">
                  <c:v>2.0</c:v>
                </c:pt>
                <c:pt idx="98">
                  <c:v>1.0</c:v>
                </c:pt>
                <c:pt idx="99">
                  <c:v>1.0</c:v>
                </c:pt>
                <c:pt idx="100">
                  <c:v>4.0</c:v>
                </c:pt>
                <c:pt idx="101">
                  <c:v>3.0</c:v>
                </c:pt>
                <c:pt idx="102">
                  <c:v>2.0</c:v>
                </c:pt>
                <c:pt idx="103">
                  <c:v>8.0</c:v>
                </c:pt>
                <c:pt idx="104">
                  <c:v>6.0</c:v>
                </c:pt>
                <c:pt idx="105">
                  <c:v>1.0</c:v>
                </c:pt>
                <c:pt idx="106">
                  <c:v>12.0</c:v>
                </c:pt>
                <c:pt idx="107">
                  <c:v>3.0</c:v>
                </c:pt>
                <c:pt idx="108">
                  <c:v>7.0</c:v>
                </c:pt>
                <c:pt idx="109">
                  <c:v>2.0</c:v>
                </c:pt>
                <c:pt idx="110">
                  <c:v>6.0</c:v>
                </c:pt>
                <c:pt idx="111">
                  <c:v>9.0</c:v>
                </c:pt>
                <c:pt idx="112">
                  <c:v>9.0</c:v>
                </c:pt>
                <c:pt idx="113">
                  <c:v>4.0</c:v>
                </c:pt>
                <c:pt idx="114">
                  <c:v>10.0</c:v>
                </c:pt>
                <c:pt idx="115">
                  <c:v>6.0</c:v>
                </c:pt>
                <c:pt idx="116">
                  <c:v>2.0</c:v>
                </c:pt>
                <c:pt idx="117">
                  <c:v>8.0</c:v>
                </c:pt>
                <c:pt idx="118">
                  <c:v>2.0</c:v>
                </c:pt>
                <c:pt idx="119">
                  <c:v>6.0</c:v>
                </c:pt>
                <c:pt idx="120">
                  <c:v>6.0</c:v>
                </c:pt>
                <c:pt idx="121">
                  <c:v>1.0</c:v>
                </c:pt>
                <c:pt idx="122">
                  <c:v>4.0</c:v>
                </c:pt>
                <c:pt idx="123">
                  <c:v>12.0</c:v>
                </c:pt>
                <c:pt idx="124">
                  <c:v>8.0</c:v>
                </c:pt>
                <c:pt idx="125">
                  <c:v>9.0</c:v>
                </c:pt>
                <c:pt idx="126">
                  <c:v>2.0</c:v>
                </c:pt>
                <c:pt idx="127">
                  <c:v>6.0</c:v>
                </c:pt>
                <c:pt idx="128">
                  <c:v>8.0</c:v>
                </c:pt>
                <c:pt idx="129">
                  <c:v>3.0</c:v>
                </c:pt>
                <c:pt idx="130">
                  <c:v>14.0</c:v>
                </c:pt>
                <c:pt idx="131">
                  <c:v>6.0</c:v>
                </c:pt>
                <c:pt idx="132">
                  <c:v>6.0</c:v>
                </c:pt>
                <c:pt idx="133">
                  <c:v>4.0</c:v>
                </c:pt>
                <c:pt idx="134">
                  <c:v>4.0</c:v>
                </c:pt>
                <c:pt idx="135">
                  <c:v>4.0</c:v>
                </c:pt>
                <c:pt idx="136">
                  <c:v>2.0</c:v>
                </c:pt>
                <c:pt idx="137">
                  <c:v>2.0</c:v>
                </c:pt>
                <c:pt idx="138">
                  <c:v>13.0</c:v>
                </c:pt>
                <c:pt idx="139">
                  <c:v>13.0</c:v>
                </c:pt>
                <c:pt idx="140">
                  <c:v>7.0</c:v>
                </c:pt>
                <c:pt idx="141">
                  <c:v>6.0</c:v>
                </c:pt>
                <c:pt idx="142">
                  <c:v>3.0</c:v>
                </c:pt>
                <c:pt idx="143">
                  <c:v>8.0</c:v>
                </c:pt>
                <c:pt idx="144">
                  <c:v>1.0</c:v>
                </c:pt>
                <c:pt idx="145">
                  <c:v>2.0</c:v>
                </c:pt>
                <c:pt idx="146">
                  <c:v>5.0</c:v>
                </c:pt>
                <c:pt idx="147">
                  <c:v>1.0</c:v>
                </c:pt>
                <c:pt idx="148">
                  <c:v>4.0</c:v>
                </c:pt>
                <c:pt idx="149">
                  <c:v>7.0</c:v>
                </c:pt>
                <c:pt idx="150">
                  <c:v>5.0</c:v>
                </c:pt>
                <c:pt idx="151">
                  <c:v>9.0</c:v>
                </c:pt>
                <c:pt idx="152">
                  <c:v>12.0</c:v>
                </c:pt>
                <c:pt idx="153">
                  <c:v>2.0</c:v>
                </c:pt>
                <c:pt idx="154">
                  <c:v>7.0</c:v>
                </c:pt>
                <c:pt idx="155">
                  <c:v>10.0</c:v>
                </c:pt>
                <c:pt idx="156">
                  <c:v>7.0</c:v>
                </c:pt>
                <c:pt idx="157">
                  <c:v>2.0</c:v>
                </c:pt>
                <c:pt idx="158">
                  <c:v>1.0</c:v>
                </c:pt>
                <c:pt idx="159">
                  <c:v>11.0</c:v>
                </c:pt>
                <c:pt idx="160">
                  <c:v>8.0</c:v>
                </c:pt>
                <c:pt idx="161">
                  <c:v>10.0</c:v>
                </c:pt>
                <c:pt idx="162">
                  <c:v>9.0</c:v>
                </c:pt>
                <c:pt idx="163">
                  <c:v>2.0</c:v>
                </c:pt>
                <c:pt idx="164">
                  <c:v>4.0</c:v>
                </c:pt>
                <c:pt idx="165">
                  <c:v>4.0</c:v>
                </c:pt>
                <c:pt idx="166">
                  <c:v>6.0</c:v>
                </c:pt>
                <c:pt idx="167">
                  <c:v>4.0</c:v>
                </c:pt>
                <c:pt idx="168">
                  <c:v>2.0</c:v>
                </c:pt>
                <c:pt idx="169">
                  <c:v>3.0</c:v>
                </c:pt>
                <c:pt idx="170">
                  <c:v>8.0</c:v>
                </c:pt>
                <c:pt idx="171">
                  <c:v>1.0</c:v>
                </c:pt>
                <c:pt idx="172">
                  <c:v>2.0</c:v>
                </c:pt>
                <c:pt idx="173">
                  <c:v>8.0</c:v>
                </c:pt>
                <c:pt idx="174">
                  <c:v>2.0</c:v>
                </c:pt>
                <c:pt idx="175">
                  <c:v>5.0</c:v>
                </c:pt>
                <c:pt idx="176">
                  <c:v>3.0</c:v>
                </c:pt>
                <c:pt idx="177">
                  <c:v>10.0</c:v>
                </c:pt>
                <c:pt idx="178">
                  <c:v>9.0</c:v>
                </c:pt>
                <c:pt idx="179">
                  <c:v>5.0</c:v>
                </c:pt>
                <c:pt idx="180">
                  <c:v>24.0</c:v>
                </c:pt>
                <c:pt idx="181">
                  <c:v>5.0</c:v>
                </c:pt>
                <c:pt idx="182">
                  <c:v>3.0</c:v>
                </c:pt>
                <c:pt idx="183">
                  <c:v>2.0</c:v>
                </c:pt>
              </c:numCache>
            </c:numRef>
          </c:yVal>
        </c:ser>
        <c:axId val="337480872"/>
        <c:axId val="337502360"/>
      </c:scatterChart>
      <c:valAx>
        <c:axId val="337480872"/>
        <c:scaling>
          <c:orientation val="minMax"/>
          <c:min val="0.0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Eta</a:t>
                </a:r>
              </a:p>
            </c:rich>
          </c:tx>
        </c:title>
        <c:numFmt formatCode="General" sourceLinked="1"/>
        <c:tickLblPos val="nextTo"/>
        <c:crossAx val="337502360"/>
        <c:crosses val="autoZero"/>
        <c:crossBetween val="midCat"/>
      </c:valAx>
      <c:valAx>
        <c:axId val="337502360"/>
        <c:scaling>
          <c:orientation val="minMax"/>
          <c:min val="0.0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Street</a:t>
                </a:r>
                <a:r>
                  <a:rPr lang="en-US" baseline="0"/>
                  <a:t> Density</a:t>
                </a:r>
                <a:endParaRPr lang="en-US"/>
              </a:p>
            </c:rich>
          </c:tx>
        </c:title>
        <c:numFmt formatCode="General" sourceLinked="1"/>
        <c:tickLblPos val="nextTo"/>
        <c:crossAx val="337480872"/>
        <c:crosses val="autoZero"/>
        <c:crossBetween val="midCat"/>
      </c:valAx>
    </c:plotArea>
    <c:plotVisOnly val="1"/>
  </c:chart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US"/>
  <c:style val="12"/>
  <c:chart>
    <c:title>
      <c:tx>
        <c:rich>
          <a:bodyPr/>
          <a:lstStyle/>
          <a:p>
            <a:pPr>
              <a:defRPr/>
            </a:pPr>
            <a:r>
              <a:rPr lang="en-US"/>
              <a:t>Theta vs. Entropy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strRef>
              <c:f>StataData!$BI$1</c:f>
              <c:strCache>
                <c:ptCount val="1"/>
                <c:pt idx="0">
                  <c:v>avg_tt</c:v>
                </c:pt>
              </c:strCache>
            </c:strRef>
          </c:tx>
          <c:spPr>
            <a:ln w="47625">
              <a:noFill/>
            </a:ln>
          </c:spPr>
          <c:marker>
            <c:symbol val="circle"/>
            <c:size val="6"/>
          </c:marker>
          <c:trendline>
            <c:trendlineType val="power"/>
            <c:dispRSqr val="1"/>
            <c:dispEq val="1"/>
            <c:trendlineLbl>
              <c:layout>
                <c:manualLayout>
                  <c:x val="-0.0162109069699621"/>
                  <c:y val="-0.0263072312845945"/>
                </c:manualLayout>
              </c:layout>
              <c:numFmt formatCode="General" sourceLinked="0"/>
            </c:trendlineLbl>
          </c:trendline>
          <c:trendline>
            <c:trendlineType val="linear"/>
            <c:dispRSqr val="1"/>
            <c:dispEq val="1"/>
            <c:trendlineLbl>
              <c:layout>
                <c:manualLayout>
                  <c:x val="0.0275836687080782"/>
                  <c:y val="0.0506520286701234"/>
                </c:manualLayout>
              </c:layout>
              <c:numFmt formatCode="General" sourceLinked="0"/>
            </c:trendlineLbl>
          </c:trendline>
          <c:xVal>
            <c:numRef>
              <c:f>StataData!$AE$2:$AE$185</c:f>
              <c:numCache>
                <c:formatCode>General</c:formatCode>
                <c:ptCount val="184"/>
                <c:pt idx="0">
                  <c:v>0.54</c:v>
                </c:pt>
                <c:pt idx="1">
                  <c:v>0.07</c:v>
                </c:pt>
                <c:pt idx="2">
                  <c:v>0.67</c:v>
                </c:pt>
                <c:pt idx="3">
                  <c:v>0.35</c:v>
                </c:pt>
                <c:pt idx="4">
                  <c:v>0.98</c:v>
                </c:pt>
                <c:pt idx="5">
                  <c:v>0.61</c:v>
                </c:pt>
                <c:pt idx="6">
                  <c:v>0.27</c:v>
                </c:pt>
                <c:pt idx="7">
                  <c:v>0.39</c:v>
                </c:pt>
                <c:pt idx="8">
                  <c:v>0.56</c:v>
                </c:pt>
                <c:pt idx="9">
                  <c:v>0.97</c:v>
                </c:pt>
                <c:pt idx="10">
                  <c:v>0.0</c:v>
                </c:pt>
                <c:pt idx="11">
                  <c:v>0.0</c:v>
                </c:pt>
                <c:pt idx="12">
                  <c:v>0.45</c:v>
                </c:pt>
                <c:pt idx="13">
                  <c:v>0.96</c:v>
                </c:pt>
                <c:pt idx="14">
                  <c:v>0.4</c:v>
                </c:pt>
                <c:pt idx="15">
                  <c:v>0.73</c:v>
                </c:pt>
                <c:pt idx="16">
                  <c:v>0.36</c:v>
                </c:pt>
                <c:pt idx="17">
                  <c:v>0.57</c:v>
                </c:pt>
                <c:pt idx="18">
                  <c:v>0.68</c:v>
                </c:pt>
                <c:pt idx="19">
                  <c:v>1.02</c:v>
                </c:pt>
                <c:pt idx="20">
                  <c:v>0.74</c:v>
                </c:pt>
                <c:pt idx="21">
                  <c:v>0.83</c:v>
                </c:pt>
                <c:pt idx="22">
                  <c:v>0.55</c:v>
                </c:pt>
                <c:pt idx="23">
                  <c:v>0.3</c:v>
                </c:pt>
                <c:pt idx="24">
                  <c:v>0.18</c:v>
                </c:pt>
                <c:pt idx="25">
                  <c:v>0.77</c:v>
                </c:pt>
                <c:pt idx="26">
                  <c:v>0.63</c:v>
                </c:pt>
                <c:pt idx="27">
                  <c:v>0.0</c:v>
                </c:pt>
                <c:pt idx="28">
                  <c:v>0.87</c:v>
                </c:pt>
                <c:pt idx="29">
                  <c:v>0.61</c:v>
                </c:pt>
                <c:pt idx="30">
                  <c:v>0.23</c:v>
                </c:pt>
                <c:pt idx="31">
                  <c:v>0.42</c:v>
                </c:pt>
                <c:pt idx="32">
                  <c:v>0.15</c:v>
                </c:pt>
                <c:pt idx="33">
                  <c:v>0.67</c:v>
                </c:pt>
                <c:pt idx="34">
                  <c:v>0.0</c:v>
                </c:pt>
                <c:pt idx="35">
                  <c:v>0.16</c:v>
                </c:pt>
                <c:pt idx="36">
                  <c:v>0.96</c:v>
                </c:pt>
                <c:pt idx="37">
                  <c:v>0.13</c:v>
                </c:pt>
                <c:pt idx="38">
                  <c:v>0.07</c:v>
                </c:pt>
                <c:pt idx="39">
                  <c:v>0.45</c:v>
                </c:pt>
                <c:pt idx="40">
                  <c:v>0.9</c:v>
                </c:pt>
                <c:pt idx="41">
                  <c:v>0.52</c:v>
                </c:pt>
                <c:pt idx="42">
                  <c:v>0.67</c:v>
                </c:pt>
                <c:pt idx="43">
                  <c:v>0.33</c:v>
                </c:pt>
                <c:pt idx="44">
                  <c:v>0.78</c:v>
                </c:pt>
                <c:pt idx="45">
                  <c:v>0.52</c:v>
                </c:pt>
                <c:pt idx="46">
                  <c:v>0.0</c:v>
                </c:pt>
                <c:pt idx="47">
                  <c:v>0.83</c:v>
                </c:pt>
                <c:pt idx="48">
                  <c:v>0.38</c:v>
                </c:pt>
                <c:pt idx="49">
                  <c:v>0.33</c:v>
                </c:pt>
                <c:pt idx="50">
                  <c:v>0.38</c:v>
                </c:pt>
                <c:pt idx="51">
                  <c:v>0.21</c:v>
                </c:pt>
                <c:pt idx="52">
                  <c:v>0.92</c:v>
                </c:pt>
                <c:pt idx="53">
                  <c:v>0.6</c:v>
                </c:pt>
                <c:pt idx="54">
                  <c:v>0.6</c:v>
                </c:pt>
                <c:pt idx="55">
                  <c:v>0.75</c:v>
                </c:pt>
                <c:pt idx="56">
                  <c:v>0.29</c:v>
                </c:pt>
                <c:pt idx="57">
                  <c:v>0.54</c:v>
                </c:pt>
                <c:pt idx="58">
                  <c:v>0.42</c:v>
                </c:pt>
                <c:pt idx="59">
                  <c:v>0.28</c:v>
                </c:pt>
                <c:pt idx="60">
                  <c:v>0.0</c:v>
                </c:pt>
                <c:pt idx="61">
                  <c:v>0.25</c:v>
                </c:pt>
                <c:pt idx="62">
                  <c:v>0.13</c:v>
                </c:pt>
                <c:pt idx="63">
                  <c:v>1.02</c:v>
                </c:pt>
                <c:pt idx="64">
                  <c:v>1.07</c:v>
                </c:pt>
                <c:pt idx="65">
                  <c:v>0.61</c:v>
                </c:pt>
                <c:pt idx="66">
                  <c:v>0.0</c:v>
                </c:pt>
                <c:pt idx="67">
                  <c:v>0.13</c:v>
                </c:pt>
                <c:pt idx="68">
                  <c:v>0.37</c:v>
                </c:pt>
                <c:pt idx="69">
                  <c:v>0.36</c:v>
                </c:pt>
                <c:pt idx="70">
                  <c:v>0.75</c:v>
                </c:pt>
                <c:pt idx="71">
                  <c:v>0.9</c:v>
                </c:pt>
                <c:pt idx="72">
                  <c:v>0.49</c:v>
                </c:pt>
                <c:pt idx="73">
                  <c:v>0.31</c:v>
                </c:pt>
                <c:pt idx="74">
                  <c:v>0.56</c:v>
                </c:pt>
                <c:pt idx="75">
                  <c:v>0.83</c:v>
                </c:pt>
                <c:pt idx="76">
                  <c:v>0.94</c:v>
                </c:pt>
                <c:pt idx="77">
                  <c:v>0.22</c:v>
                </c:pt>
                <c:pt idx="78">
                  <c:v>0.74</c:v>
                </c:pt>
                <c:pt idx="79">
                  <c:v>0.47</c:v>
                </c:pt>
                <c:pt idx="80">
                  <c:v>1.24</c:v>
                </c:pt>
                <c:pt idx="81">
                  <c:v>0.66</c:v>
                </c:pt>
                <c:pt idx="82">
                  <c:v>0.82</c:v>
                </c:pt>
                <c:pt idx="83">
                  <c:v>0.29</c:v>
                </c:pt>
                <c:pt idx="84">
                  <c:v>0.6</c:v>
                </c:pt>
                <c:pt idx="85">
                  <c:v>0.38</c:v>
                </c:pt>
                <c:pt idx="86">
                  <c:v>0.29</c:v>
                </c:pt>
                <c:pt idx="87">
                  <c:v>0.47</c:v>
                </c:pt>
                <c:pt idx="88">
                  <c:v>0.0</c:v>
                </c:pt>
                <c:pt idx="89">
                  <c:v>1.04</c:v>
                </c:pt>
                <c:pt idx="90">
                  <c:v>0.79</c:v>
                </c:pt>
                <c:pt idx="91">
                  <c:v>0.0</c:v>
                </c:pt>
                <c:pt idx="92">
                  <c:v>0.44</c:v>
                </c:pt>
                <c:pt idx="93">
                  <c:v>0.32</c:v>
                </c:pt>
                <c:pt idx="94">
                  <c:v>0.43</c:v>
                </c:pt>
                <c:pt idx="95">
                  <c:v>0.81</c:v>
                </c:pt>
                <c:pt idx="96">
                  <c:v>0.74</c:v>
                </c:pt>
                <c:pt idx="97">
                  <c:v>0.89</c:v>
                </c:pt>
                <c:pt idx="98">
                  <c:v>0.65</c:v>
                </c:pt>
                <c:pt idx="99">
                  <c:v>0.31</c:v>
                </c:pt>
                <c:pt idx="100">
                  <c:v>0.93</c:v>
                </c:pt>
                <c:pt idx="101">
                  <c:v>0.0</c:v>
                </c:pt>
                <c:pt idx="102">
                  <c:v>0.9</c:v>
                </c:pt>
                <c:pt idx="103">
                  <c:v>1.16</c:v>
                </c:pt>
                <c:pt idx="104">
                  <c:v>1.16</c:v>
                </c:pt>
                <c:pt idx="105">
                  <c:v>1.49</c:v>
                </c:pt>
                <c:pt idx="106">
                  <c:v>0.53</c:v>
                </c:pt>
                <c:pt idx="107">
                  <c:v>0.12</c:v>
                </c:pt>
                <c:pt idx="108">
                  <c:v>0.66</c:v>
                </c:pt>
                <c:pt idx="109">
                  <c:v>0.47</c:v>
                </c:pt>
                <c:pt idx="110">
                  <c:v>0.0</c:v>
                </c:pt>
                <c:pt idx="111">
                  <c:v>0.67</c:v>
                </c:pt>
                <c:pt idx="112">
                  <c:v>0.51</c:v>
                </c:pt>
                <c:pt idx="113">
                  <c:v>0.23</c:v>
                </c:pt>
                <c:pt idx="114">
                  <c:v>0.49</c:v>
                </c:pt>
                <c:pt idx="115">
                  <c:v>0.0</c:v>
                </c:pt>
                <c:pt idx="116">
                  <c:v>0.42</c:v>
                </c:pt>
                <c:pt idx="117">
                  <c:v>0.37</c:v>
                </c:pt>
                <c:pt idx="118">
                  <c:v>0.5</c:v>
                </c:pt>
                <c:pt idx="119">
                  <c:v>0.0</c:v>
                </c:pt>
                <c:pt idx="120">
                  <c:v>0.87</c:v>
                </c:pt>
                <c:pt idx="121">
                  <c:v>0.74</c:v>
                </c:pt>
                <c:pt idx="122">
                  <c:v>0.02</c:v>
                </c:pt>
                <c:pt idx="123">
                  <c:v>0.39</c:v>
                </c:pt>
                <c:pt idx="124">
                  <c:v>0.0</c:v>
                </c:pt>
                <c:pt idx="125">
                  <c:v>0.48</c:v>
                </c:pt>
                <c:pt idx="126">
                  <c:v>0.1</c:v>
                </c:pt>
                <c:pt idx="127">
                  <c:v>0.79</c:v>
                </c:pt>
                <c:pt idx="128">
                  <c:v>0.74</c:v>
                </c:pt>
                <c:pt idx="129">
                  <c:v>0.6</c:v>
                </c:pt>
                <c:pt idx="130">
                  <c:v>0.62</c:v>
                </c:pt>
                <c:pt idx="131">
                  <c:v>1.43</c:v>
                </c:pt>
                <c:pt idx="132">
                  <c:v>0.59</c:v>
                </c:pt>
                <c:pt idx="133">
                  <c:v>0.31</c:v>
                </c:pt>
                <c:pt idx="134">
                  <c:v>0.44</c:v>
                </c:pt>
                <c:pt idx="135">
                  <c:v>0.7</c:v>
                </c:pt>
                <c:pt idx="136">
                  <c:v>0.68</c:v>
                </c:pt>
                <c:pt idx="137">
                  <c:v>0.33</c:v>
                </c:pt>
                <c:pt idx="138">
                  <c:v>0.52</c:v>
                </c:pt>
                <c:pt idx="139">
                  <c:v>0.29</c:v>
                </c:pt>
                <c:pt idx="140">
                  <c:v>0.64</c:v>
                </c:pt>
                <c:pt idx="141">
                  <c:v>0.56</c:v>
                </c:pt>
                <c:pt idx="142">
                  <c:v>0.88</c:v>
                </c:pt>
                <c:pt idx="143">
                  <c:v>0.74</c:v>
                </c:pt>
                <c:pt idx="144">
                  <c:v>0.69</c:v>
                </c:pt>
                <c:pt idx="145">
                  <c:v>0.26</c:v>
                </c:pt>
                <c:pt idx="146">
                  <c:v>0.5</c:v>
                </c:pt>
                <c:pt idx="147">
                  <c:v>0.59</c:v>
                </c:pt>
                <c:pt idx="148">
                  <c:v>0.6</c:v>
                </c:pt>
                <c:pt idx="149">
                  <c:v>0.28</c:v>
                </c:pt>
                <c:pt idx="150">
                  <c:v>0.32</c:v>
                </c:pt>
                <c:pt idx="151">
                  <c:v>0.49</c:v>
                </c:pt>
                <c:pt idx="152">
                  <c:v>0.76</c:v>
                </c:pt>
                <c:pt idx="153">
                  <c:v>0.38</c:v>
                </c:pt>
                <c:pt idx="154">
                  <c:v>0.28</c:v>
                </c:pt>
                <c:pt idx="155">
                  <c:v>0.0</c:v>
                </c:pt>
                <c:pt idx="156">
                  <c:v>1.24</c:v>
                </c:pt>
                <c:pt idx="157">
                  <c:v>0.19</c:v>
                </c:pt>
                <c:pt idx="158">
                  <c:v>0.74</c:v>
                </c:pt>
                <c:pt idx="159">
                  <c:v>0.75</c:v>
                </c:pt>
                <c:pt idx="160">
                  <c:v>0.0</c:v>
                </c:pt>
                <c:pt idx="161">
                  <c:v>0.49</c:v>
                </c:pt>
                <c:pt idx="162">
                  <c:v>0.16</c:v>
                </c:pt>
                <c:pt idx="163">
                  <c:v>0.51</c:v>
                </c:pt>
                <c:pt idx="164">
                  <c:v>1.16</c:v>
                </c:pt>
                <c:pt idx="165">
                  <c:v>0.0</c:v>
                </c:pt>
                <c:pt idx="166">
                  <c:v>0.93</c:v>
                </c:pt>
                <c:pt idx="167">
                  <c:v>0.11</c:v>
                </c:pt>
                <c:pt idx="168">
                  <c:v>0.45</c:v>
                </c:pt>
                <c:pt idx="169">
                  <c:v>0.85</c:v>
                </c:pt>
                <c:pt idx="170">
                  <c:v>0.46</c:v>
                </c:pt>
                <c:pt idx="171">
                  <c:v>1.07</c:v>
                </c:pt>
                <c:pt idx="172">
                  <c:v>0.68</c:v>
                </c:pt>
                <c:pt idx="173">
                  <c:v>0.75</c:v>
                </c:pt>
                <c:pt idx="174">
                  <c:v>1.22</c:v>
                </c:pt>
                <c:pt idx="175">
                  <c:v>1.0</c:v>
                </c:pt>
                <c:pt idx="176">
                  <c:v>0.56</c:v>
                </c:pt>
                <c:pt idx="177">
                  <c:v>0.49</c:v>
                </c:pt>
                <c:pt idx="178">
                  <c:v>0.57</c:v>
                </c:pt>
                <c:pt idx="179">
                  <c:v>0.42</c:v>
                </c:pt>
                <c:pt idx="180">
                  <c:v>0.0</c:v>
                </c:pt>
                <c:pt idx="181">
                  <c:v>0.43</c:v>
                </c:pt>
                <c:pt idx="182">
                  <c:v>0.0</c:v>
                </c:pt>
                <c:pt idx="183">
                  <c:v>1.18</c:v>
                </c:pt>
              </c:numCache>
            </c:numRef>
          </c:xVal>
          <c:yVal>
            <c:numRef>
              <c:f>StataData!$CS$2:$CS$185</c:f>
              <c:numCache>
                <c:formatCode>General</c:formatCode>
                <c:ptCount val="184"/>
                <c:pt idx="0">
                  <c:v>1207.390804597701</c:v>
                </c:pt>
                <c:pt idx="1">
                  <c:v>582.0490367775831</c:v>
                </c:pt>
                <c:pt idx="2">
                  <c:v>1095.515151515152</c:v>
                </c:pt>
                <c:pt idx="3">
                  <c:v>762.8701376421304</c:v>
                </c:pt>
                <c:pt idx="4">
                  <c:v>3148.291845493562</c:v>
                </c:pt>
                <c:pt idx="5">
                  <c:v>414.3310344827586</c:v>
                </c:pt>
                <c:pt idx="6">
                  <c:v>511.0</c:v>
                </c:pt>
                <c:pt idx="7">
                  <c:v>410.855421686747</c:v>
                </c:pt>
                <c:pt idx="8">
                  <c:v>307.047619047619</c:v>
                </c:pt>
                <c:pt idx="9">
                  <c:v>603.0275229357799</c:v>
                </c:pt>
                <c:pt idx="10">
                  <c:v>200.0645161290323</c:v>
                </c:pt>
                <c:pt idx="11">
                  <c:v>116.16</c:v>
                </c:pt>
                <c:pt idx="12">
                  <c:v>1249.159975293391</c:v>
                </c:pt>
                <c:pt idx="13">
                  <c:v>2559.072463768116</c:v>
                </c:pt>
                <c:pt idx="14">
                  <c:v>1863.719912472648</c:v>
                </c:pt>
                <c:pt idx="15">
                  <c:v>2414.0</c:v>
                </c:pt>
                <c:pt idx="16">
                  <c:v>1467.475071633238</c:v>
                </c:pt>
                <c:pt idx="17">
                  <c:v>597.8151260504202</c:v>
                </c:pt>
                <c:pt idx="18">
                  <c:v>1247.609903991915</c:v>
                </c:pt>
                <c:pt idx="19">
                  <c:v>165.2884615384615</c:v>
                </c:pt>
                <c:pt idx="20">
                  <c:v>453.8490566037735</c:v>
                </c:pt>
                <c:pt idx="21">
                  <c:v>229.1187739463602</c:v>
                </c:pt>
                <c:pt idx="22">
                  <c:v>1216.520661157025</c:v>
                </c:pt>
                <c:pt idx="23">
                  <c:v>272.5106382978723</c:v>
                </c:pt>
                <c:pt idx="24">
                  <c:v>505.6632911392405</c:v>
                </c:pt>
                <c:pt idx="25">
                  <c:v>603.4446919079436</c:v>
                </c:pt>
                <c:pt idx="26">
                  <c:v>672.7848258706467</c:v>
                </c:pt>
                <c:pt idx="27">
                  <c:v>502.1692307692308</c:v>
                </c:pt>
                <c:pt idx="28">
                  <c:v>5040.461538461538</c:v>
                </c:pt>
                <c:pt idx="29">
                  <c:v>202.4</c:v>
                </c:pt>
                <c:pt idx="30">
                  <c:v>551.659574468085</c:v>
                </c:pt>
                <c:pt idx="31">
                  <c:v>1228.156788793103</c:v>
                </c:pt>
                <c:pt idx="32">
                  <c:v>911.0032362459547</c:v>
                </c:pt>
                <c:pt idx="33">
                  <c:v>925.6883408071748</c:v>
                </c:pt>
                <c:pt idx="34">
                  <c:v>651.8163265306122</c:v>
                </c:pt>
                <c:pt idx="35">
                  <c:v>521.4405405405404</c:v>
                </c:pt>
                <c:pt idx="36">
                  <c:v>482.5261194029851</c:v>
                </c:pt>
                <c:pt idx="37">
                  <c:v>1321.692307692308</c:v>
                </c:pt>
                <c:pt idx="38">
                  <c:v>91.73809523809524</c:v>
                </c:pt>
                <c:pt idx="39">
                  <c:v>423.1566265060241</c:v>
                </c:pt>
                <c:pt idx="40">
                  <c:v>1643.276190476191</c:v>
                </c:pt>
                <c:pt idx="41">
                  <c:v>1027.727272727273</c:v>
                </c:pt>
                <c:pt idx="42">
                  <c:v>1335.460120068611</c:v>
                </c:pt>
                <c:pt idx="43">
                  <c:v>895.8658536585366</c:v>
                </c:pt>
                <c:pt idx="44">
                  <c:v>1168.106382978723</c:v>
                </c:pt>
                <c:pt idx="45">
                  <c:v>1508.842794759825</c:v>
                </c:pt>
                <c:pt idx="46">
                  <c:v>460.7619047619048</c:v>
                </c:pt>
                <c:pt idx="47">
                  <c:v>1239.182608695652</c:v>
                </c:pt>
                <c:pt idx="48">
                  <c:v>430.0</c:v>
                </c:pt>
                <c:pt idx="49">
                  <c:v>565.275590551181</c:v>
                </c:pt>
                <c:pt idx="50">
                  <c:v>767.5714285714286</c:v>
                </c:pt>
                <c:pt idx="51">
                  <c:v>424.6565656565656</c:v>
                </c:pt>
                <c:pt idx="52">
                  <c:v>1100.0</c:v>
                </c:pt>
                <c:pt idx="53">
                  <c:v>1678.747854077253</c:v>
                </c:pt>
                <c:pt idx="54">
                  <c:v>1710.916666666667</c:v>
                </c:pt>
                <c:pt idx="55">
                  <c:v>1779.389830508475</c:v>
                </c:pt>
                <c:pt idx="56">
                  <c:v>773.6235294117647</c:v>
                </c:pt>
                <c:pt idx="57">
                  <c:v>967.25</c:v>
                </c:pt>
                <c:pt idx="58">
                  <c:v>716.1882352941177</c:v>
                </c:pt>
                <c:pt idx="59">
                  <c:v>74.13559322033898</c:v>
                </c:pt>
                <c:pt idx="60">
                  <c:v>436.2631578947368</c:v>
                </c:pt>
                <c:pt idx="61">
                  <c:v>779.1570881226054</c:v>
                </c:pt>
                <c:pt idx="62">
                  <c:v>125.5333333333333</c:v>
                </c:pt>
                <c:pt idx="63">
                  <c:v>1362.558139534884</c:v>
                </c:pt>
                <c:pt idx="64">
                  <c:v>1723.949685534591</c:v>
                </c:pt>
                <c:pt idx="65">
                  <c:v>158.7980769230769</c:v>
                </c:pt>
                <c:pt idx="66">
                  <c:v>916.32</c:v>
                </c:pt>
                <c:pt idx="67">
                  <c:v>1654.439393939394</c:v>
                </c:pt>
                <c:pt idx="68">
                  <c:v>552.3062068965518</c:v>
                </c:pt>
                <c:pt idx="69">
                  <c:v>781.0169491525423</c:v>
                </c:pt>
                <c:pt idx="70">
                  <c:v>85.11111111111111</c:v>
                </c:pt>
                <c:pt idx="71">
                  <c:v>494.7755102040816</c:v>
                </c:pt>
                <c:pt idx="72">
                  <c:v>1353.552631578947</c:v>
                </c:pt>
                <c:pt idx="73">
                  <c:v>824.4418604651163</c:v>
                </c:pt>
                <c:pt idx="74">
                  <c:v>954.5035971223021</c:v>
                </c:pt>
                <c:pt idx="75">
                  <c:v>1254.705596107056</c:v>
                </c:pt>
                <c:pt idx="76">
                  <c:v>1651.550561797753</c:v>
                </c:pt>
                <c:pt idx="77">
                  <c:v>388.5990783410138</c:v>
                </c:pt>
                <c:pt idx="78">
                  <c:v>1808.215568862275</c:v>
                </c:pt>
                <c:pt idx="79">
                  <c:v>146.1538461538462</c:v>
                </c:pt>
                <c:pt idx="80">
                  <c:v>1062.286624203822</c:v>
                </c:pt>
                <c:pt idx="81">
                  <c:v>80.16129032258064</c:v>
                </c:pt>
                <c:pt idx="82">
                  <c:v>862.1506849315068</c:v>
                </c:pt>
                <c:pt idx="83">
                  <c:v>835.0523917995445</c:v>
                </c:pt>
                <c:pt idx="84">
                  <c:v>53.84615384615384</c:v>
                </c:pt>
                <c:pt idx="85">
                  <c:v>1457.8</c:v>
                </c:pt>
                <c:pt idx="86">
                  <c:v>478.7027027027027</c:v>
                </c:pt>
                <c:pt idx="87">
                  <c:v>1752.767019667171</c:v>
                </c:pt>
                <c:pt idx="88">
                  <c:v>401.0309278350515</c:v>
                </c:pt>
                <c:pt idx="89">
                  <c:v>4241.674418604651</c:v>
                </c:pt>
                <c:pt idx="90">
                  <c:v>1153.575757575758</c:v>
                </c:pt>
                <c:pt idx="91">
                  <c:v>207.2727272727273</c:v>
                </c:pt>
                <c:pt idx="92">
                  <c:v>1410.477272727273</c:v>
                </c:pt>
                <c:pt idx="93">
                  <c:v>294.4233576642335</c:v>
                </c:pt>
                <c:pt idx="94">
                  <c:v>1338.332429501085</c:v>
                </c:pt>
                <c:pt idx="95">
                  <c:v>687.5121951219512</c:v>
                </c:pt>
                <c:pt idx="96">
                  <c:v>1185.557440246723</c:v>
                </c:pt>
                <c:pt idx="97">
                  <c:v>328.3636363636364</c:v>
                </c:pt>
                <c:pt idx="98">
                  <c:v>1426.722222222222</c:v>
                </c:pt>
                <c:pt idx="99">
                  <c:v>625.25</c:v>
                </c:pt>
                <c:pt idx="100">
                  <c:v>112.6779661016949</c:v>
                </c:pt>
                <c:pt idx="101">
                  <c:v>147.2</c:v>
                </c:pt>
                <c:pt idx="102">
                  <c:v>1099.411764705882</c:v>
                </c:pt>
                <c:pt idx="103">
                  <c:v>148.6140350877193</c:v>
                </c:pt>
                <c:pt idx="104">
                  <c:v>1769.34890510949</c:v>
                </c:pt>
                <c:pt idx="105">
                  <c:v>1181.25</c:v>
                </c:pt>
                <c:pt idx="106">
                  <c:v>1463.455816407281</c:v>
                </c:pt>
                <c:pt idx="107">
                  <c:v>1146.133333333333</c:v>
                </c:pt>
                <c:pt idx="108">
                  <c:v>1399.118181818182</c:v>
                </c:pt>
                <c:pt idx="109">
                  <c:v>783.3006535947712</c:v>
                </c:pt>
                <c:pt idx="110">
                  <c:v>223.7549407114624</c:v>
                </c:pt>
                <c:pt idx="111">
                  <c:v>1051.761467889908</c:v>
                </c:pt>
                <c:pt idx="112">
                  <c:v>1451.803863298663</c:v>
                </c:pt>
                <c:pt idx="113">
                  <c:v>168.3243243243243</c:v>
                </c:pt>
                <c:pt idx="114">
                  <c:v>554.150442477876</c:v>
                </c:pt>
                <c:pt idx="115">
                  <c:v>169.8604651162791</c:v>
                </c:pt>
                <c:pt idx="116">
                  <c:v>2120.621621621622</c:v>
                </c:pt>
                <c:pt idx="117">
                  <c:v>204.2764705882353</c:v>
                </c:pt>
                <c:pt idx="118">
                  <c:v>756.5573770491803</c:v>
                </c:pt>
                <c:pt idx="119">
                  <c:v>290.0</c:v>
                </c:pt>
                <c:pt idx="120">
                  <c:v>1789.265306122449</c:v>
                </c:pt>
                <c:pt idx="121">
                  <c:v>1251.705882352941</c:v>
                </c:pt>
                <c:pt idx="122">
                  <c:v>332.4892966360856</c:v>
                </c:pt>
                <c:pt idx="123">
                  <c:v>741.699481865285</c:v>
                </c:pt>
                <c:pt idx="124">
                  <c:v>115.6037735849057</c:v>
                </c:pt>
                <c:pt idx="125">
                  <c:v>243.3975903614458</c:v>
                </c:pt>
                <c:pt idx="126">
                  <c:v>508.360465116279</c:v>
                </c:pt>
                <c:pt idx="127">
                  <c:v>650.4657534246576</c:v>
                </c:pt>
                <c:pt idx="128">
                  <c:v>1132.40725388601</c:v>
                </c:pt>
                <c:pt idx="129">
                  <c:v>973.8691275167786</c:v>
                </c:pt>
                <c:pt idx="130">
                  <c:v>869.2857142857143</c:v>
                </c:pt>
                <c:pt idx="131">
                  <c:v>2126.775862068966</c:v>
                </c:pt>
                <c:pt idx="132">
                  <c:v>1355.414556962025</c:v>
                </c:pt>
                <c:pt idx="133">
                  <c:v>527.0529801324503</c:v>
                </c:pt>
                <c:pt idx="134">
                  <c:v>700.473036896878</c:v>
                </c:pt>
                <c:pt idx="135">
                  <c:v>139.609756097561</c:v>
                </c:pt>
                <c:pt idx="136">
                  <c:v>1440.0</c:v>
                </c:pt>
                <c:pt idx="137">
                  <c:v>706.5</c:v>
                </c:pt>
                <c:pt idx="138">
                  <c:v>2027.953732912723</c:v>
                </c:pt>
                <c:pt idx="139">
                  <c:v>709.2336244541485</c:v>
                </c:pt>
                <c:pt idx="140">
                  <c:v>610.2857142857143</c:v>
                </c:pt>
                <c:pt idx="141">
                  <c:v>1831.375</c:v>
                </c:pt>
                <c:pt idx="142">
                  <c:v>1025.894736842105</c:v>
                </c:pt>
                <c:pt idx="143">
                  <c:v>1998.559322033898</c:v>
                </c:pt>
                <c:pt idx="144">
                  <c:v>143.0335570469799</c:v>
                </c:pt>
                <c:pt idx="145">
                  <c:v>1224.473684210526</c:v>
                </c:pt>
                <c:pt idx="146">
                  <c:v>849.1902173913044</c:v>
                </c:pt>
                <c:pt idx="147">
                  <c:v>734.0909090909091</c:v>
                </c:pt>
                <c:pt idx="148">
                  <c:v>1219.446640316206</c:v>
                </c:pt>
                <c:pt idx="149">
                  <c:v>1246.053927315358</c:v>
                </c:pt>
                <c:pt idx="150">
                  <c:v>51.50812064965197</c:v>
                </c:pt>
                <c:pt idx="151">
                  <c:v>876.8260869565217</c:v>
                </c:pt>
                <c:pt idx="152">
                  <c:v>862.1120689655172</c:v>
                </c:pt>
                <c:pt idx="153">
                  <c:v>698.9240506329114</c:v>
                </c:pt>
                <c:pt idx="154">
                  <c:v>493.6375</c:v>
                </c:pt>
                <c:pt idx="155">
                  <c:v>498.2222222222222</c:v>
                </c:pt>
                <c:pt idx="156">
                  <c:v>406.1927710843373</c:v>
                </c:pt>
                <c:pt idx="157">
                  <c:v>409.1666666666666</c:v>
                </c:pt>
                <c:pt idx="158">
                  <c:v>2770.098360655738</c:v>
                </c:pt>
                <c:pt idx="159">
                  <c:v>1503.500792393027</c:v>
                </c:pt>
                <c:pt idx="160">
                  <c:v>95.14893617021276</c:v>
                </c:pt>
                <c:pt idx="161">
                  <c:v>1412.292717753451</c:v>
                </c:pt>
                <c:pt idx="162">
                  <c:v>353.7209302325581</c:v>
                </c:pt>
                <c:pt idx="163">
                  <c:v>497.1631578947368</c:v>
                </c:pt>
                <c:pt idx="164">
                  <c:v>4961.6</c:v>
                </c:pt>
                <c:pt idx="165">
                  <c:v>473.8558558558558</c:v>
                </c:pt>
                <c:pt idx="166">
                  <c:v>2664.553398058252</c:v>
                </c:pt>
                <c:pt idx="167">
                  <c:v>223.5813953488372</c:v>
                </c:pt>
                <c:pt idx="168">
                  <c:v>2815.029411764706</c:v>
                </c:pt>
                <c:pt idx="169">
                  <c:v>580.1801801801801</c:v>
                </c:pt>
                <c:pt idx="170">
                  <c:v>300.098445595855</c:v>
                </c:pt>
                <c:pt idx="171">
                  <c:v>537.609756097561</c:v>
                </c:pt>
                <c:pt idx="172">
                  <c:v>1784.156862745098</c:v>
                </c:pt>
                <c:pt idx="173">
                  <c:v>228.6037735849057</c:v>
                </c:pt>
                <c:pt idx="174">
                  <c:v>922.1780104712041</c:v>
                </c:pt>
                <c:pt idx="175">
                  <c:v>1819.576036866359</c:v>
                </c:pt>
                <c:pt idx="176">
                  <c:v>1468.801762114537</c:v>
                </c:pt>
                <c:pt idx="177">
                  <c:v>958.7450592885375</c:v>
                </c:pt>
                <c:pt idx="178">
                  <c:v>1204.435406698565</c:v>
                </c:pt>
                <c:pt idx="179">
                  <c:v>759.1932773109243</c:v>
                </c:pt>
                <c:pt idx="180">
                  <c:v>103.8648648648649</c:v>
                </c:pt>
                <c:pt idx="181">
                  <c:v>1103.872570194384</c:v>
                </c:pt>
                <c:pt idx="182">
                  <c:v>120.0</c:v>
                </c:pt>
                <c:pt idx="183">
                  <c:v>753.7788944723617</c:v>
                </c:pt>
              </c:numCache>
            </c:numRef>
          </c:yVal>
        </c:ser>
        <c:axId val="347492088"/>
        <c:axId val="347398056"/>
      </c:scatterChart>
      <c:valAx>
        <c:axId val="347492088"/>
        <c:scaling>
          <c:orientation val="minMax"/>
          <c:min val="0.0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Entropy</a:t>
                </a:r>
              </a:p>
            </c:rich>
          </c:tx>
          <c:layout/>
        </c:title>
        <c:numFmt formatCode="General" sourceLinked="1"/>
        <c:tickLblPos val="nextTo"/>
        <c:crossAx val="347398056"/>
        <c:crosses val="autoZero"/>
        <c:crossBetween val="midCat"/>
      </c:valAx>
      <c:valAx>
        <c:axId val="347398056"/>
        <c:scaling>
          <c:orientation val="minMax"/>
          <c:min val="0.0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Theta</a:t>
                </a:r>
              </a:p>
            </c:rich>
          </c:tx>
          <c:layout/>
        </c:title>
        <c:numFmt formatCode="General" sourceLinked="1"/>
        <c:tickLblPos val="nextTo"/>
        <c:crossAx val="347492088"/>
        <c:crosses val="autoZero"/>
        <c:crossBetween val="midCat"/>
      </c:valAx>
    </c:plotArea>
    <c:plotVisOnly val="1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chart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chart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chart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chart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chart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chart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chart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chart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chart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chart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chart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chart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chart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96" workbookViewId="0" zoomToFit="1"/>
  </sheetViews>
  <pageMargins left="0.75" right="0.75" top="1" bottom="1" header="0.5" footer="0.5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96" workbookViewId="0" zoomToFit="1"/>
  </sheetViews>
  <pageMargins left="0.75" right="0.75" top="1" bottom="1" header="0.5" footer="0.5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96" workbookViewId="0" zoomToFit="1"/>
  </sheetViews>
  <pageMargins left="0.75" right="0.75" top="1" bottom="1" header="0.5" footer="0.5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zoomScale="96" workbookViewId="0" zoomToFit="1"/>
  </sheetViews>
  <pageMargins left="0.75" right="0.75" top="1" bottom="1" header="0.5" footer="0.5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>
  <sheetPr/>
  <sheetViews>
    <sheetView zoomScale="96" workbookViewId="0" zoomToFit="1"/>
  </sheetViews>
  <pageMargins left="0.75" right="0.75" top="1" bottom="1" header="0.5" footer="0.5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>
  <sheetPr/>
  <sheetViews>
    <sheetView zoomScale="96" workbookViewId="0" zoomToFit="1"/>
  </sheetViews>
  <pageMargins left="0.75" right="0.75" top="1" bottom="1" header="0.5" footer="0.5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>
  <sheetPr/>
  <sheetViews>
    <sheetView zoomScale="96" workbookViewId="0" zoomToFit="1"/>
  </sheetViews>
  <pageMargins left="0.75" right="0.75" top="1" bottom="1" header="0.5" footer="0.5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>
  <sheetPr/>
  <sheetViews>
    <sheetView zoomScale="96" workbookViewId="0" zoomToFit="1"/>
  </sheetViews>
  <pageMargins left="0.75" right="0.75" top="1" bottom="1" header="0.5" footer="0.5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>
  <sheetPr/>
  <sheetViews>
    <sheetView zoomScale="96" workbookViewId="0" zoomToFit="1"/>
  </sheetViews>
  <pageMargins left="0.75" right="0.75" top="1" bottom="1" header="0.5" footer="0.5"/>
  <drawing r:id="rId1"/>
</chartsheet>
</file>

<file path=xl/chartsheets/sheet10.xml><?xml version="1.0" encoding="utf-8"?>
<chartsheet xmlns="http://schemas.openxmlformats.org/spreadsheetml/2006/main" xmlns:r="http://schemas.openxmlformats.org/officeDocument/2006/relationships">
  <sheetPr/>
  <sheetViews>
    <sheetView zoomScale="96" workbookViewId="0" zoomToFit="1"/>
  </sheetViews>
  <pageMargins left="0.75" right="0.75" top="1" bottom="1" header="0.5" footer="0.5"/>
  <drawing r:id="rId1"/>
</chartsheet>
</file>

<file path=xl/chartsheets/sheet11.xml><?xml version="1.0" encoding="utf-8"?>
<chartsheet xmlns="http://schemas.openxmlformats.org/spreadsheetml/2006/main" xmlns:r="http://schemas.openxmlformats.org/officeDocument/2006/relationships">
  <sheetPr/>
  <sheetViews>
    <sheetView zoomScale="96" workbookViewId="0" zoomToFit="1"/>
  </sheetViews>
  <pageMargins left="0.75" right="0.75" top="1" bottom="1" header="0.5" footer="0.5"/>
  <drawing r:id="rId1"/>
</chartsheet>
</file>

<file path=xl/chartsheets/sheet12.xml><?xml version="1.0" encoding="utf-8"?>
<chartsheet xmlns="http://schemas.openxmlformats.org/spreadsheetml/2006/main" xmlns:r="http://schemas.openxmlformats.org/officeDocument/2006/relationships">
  <sheetPr/>
  <sheetViews>
    <sheetView zoomScale="96" workbookViewId="0" zoomToFit="1"/>
  </sheetViews>
  <pageMargins left="0.75" right="0.75" top="1" bottom="1" header="0.5" footer="0.5"/>
  <drawing r:id="rId1"/>
</chartsheet>
</file>

<file path=xl/chartsheets/sheet13.xml><?xml version="1.0" encoding="utf-8"?>
<chartsheet xmlns="http://schemas.openxmlformats.org/spreadsheetml/2006/main" xmlns:r="http://schemas.openxmlformats.org/officeDocument/2006/relationships">
  <sheetPr/>
  <sheetViews>
    <sheetView zoomScale="96" workbookViewId="0" zoomToFit="1"/>
  </sheetViews>
  <pageMargins left="0.75" right="0.75" top="1" bottom="1" header="0.5" footer="0.5"/>
  <drawing r:id="rId1"/>
</chartsheet>
</file>

<file path=xl/chartsheets/sheet14.xml><?xml version="1.0" encoding="utf-8"?>
<chartsheet xmlns="http://schemas.openxmlformats.org/spreadsheetml/2006/main" xmlns:r="http://schemas.openxmlformats.org/officeDocument/2006/relationships">
  <sheetPr/>
  <sheetViews>
    <sheetView zoomScale="96" workbookViewId="0" zoomToFit="1"/>
  </sheetViews>
  <pageMargins left="0.75" right="0.75" top="1" bottom="1" header="0.5" footer="0.5"/>
  <drawing r:id="rId1"/>
</chartsheet>
</file>

<file path=xl/chartsheets/sheet15.xml><?xml version="1.0" encoding="utf-8"?>
<chartsheet xmlns="http://schemas.openxmlformats.org/spreadsheetml/2006/main" xmlns:r="http://schemas.openxmlformats.org/officeDocument/2006/relationships">
  <sheetPr/>
  <sheetViews>
    <sheetView zoomScale="96" workbookViewId="0" zoomToFit="1"/>
  </sheetViews>
  <pageMargins left="0.75" right="0.75" top="1" bottom="1" header="0.5" footer="0.5"/>
  <drawing r:id="rId1"/>
</chartsheet>
</file>

<file path=xl/chartsheets/sheet16.xml><?xml version="1.0" encoding="utf-8"?>
<chartsheet xmlns="http://schemas.openxmlformats.org/spreadsheetml/2006/main" xmlns:r="http://schemas.openxmlformats.org/officeDocument/2006/relationships">
  <sheetPr/>
  <sheetViews>
    <sheetView zoomScale="96" workbookViewId="0" zoomToFit="1"/>
  </sheetViews>
  <pageMargins left="0.75" right="0.75" top="1" bottom="1" header="0.5" footer="0.5"/>
  <drawing r:id="rId1"/>
</chartsheet>
</file>

<file path=xl/chartsheets/sheet17.xml><?xml version="1.0" encoding="utf-8"?>
<chartsheet xmlns="http://schemas.openxmlformats.org/spreadsheetml/2006/main" xmlns:r="http://schemas.openxmlformats.org/officeDocument/2006/relationships">
  <sheetPr/>
  <sheetViews>
    <sheetView zoomScale="96" workbookViewId="0" zoomToFit="1"/>
  </sheetViews>
  <pageMargins left="0.75" right="0.75" top="1" bottom="1" header="0.5" footer="0.5"/>
  <pageSetup orientation="landscape" horizontalDpi="4294967292" verticalDpi="4294967292"/>
  <drawing r:id="rId1"/>
</chartsheet>
</file>

<file path=xl/chartsheets/sheet18.xml><?xml version="1.0" encoding="utf-8"?>
<chartsheet xmlns="http://schemas.openxmlformats.org/spreadsheetml/2006/main" xmlns:r="http://schemas.openxmlformats.org/officeDocument/2006/relationships">
  <sheetPr/>
  <sheetViews>
    <sheetView zoomScale="96" workbookViewId="0" zoomToFit="1"/>
  </sheetViews>
  <pageMargins left="0.75" right="0.75" top="1" bottom="1" header="0.5" footer="0.5"/>
  <pageSetup orientation="landscape" horizontalDpi="4294967292" verticalDpi="4294967292"/>
  <drawing r:id="rId1"/>
</chartsheet>
</file>

<file path=xl/chartsheets/sheet19.xml><?xml version="1.0" encoding="utf-8"?>
<chartsheet xmlns="http://schemas.openxmlformats.org/spreadsheetml/2006/main" xmlns:r="http://schemas.openxmlformats.org/officeDocument/2006/relationships">
  <sheetPr/>
  <sheetViews>
    <sheetView zoomScale="96" workbookViewId="0" zoomToFit="1"/>
  </sheetViews>
  <pageMargins left="0.75" right="0.75" top="1" bottom="1" header="0.5" footer="0.5"/>
  <pageSetup orientation="landscape" horizontalDpi="4294967292" verticalDpi="4294967292"/>
  <drawing r:id="rId1"/>
</chartsheet>
</file>

<file path=xl/chartsheets/sheet20.xml><?xml version="1.0" encoding="utf-8"?>
<chartsheet xmlns="http://schemas.openxmlformats.org/spreadsheetml/2006/main" xmlns:r="http://schemas.openxmlformats.org/officeDocument/2006/relationships">
  <sheetPr/>
  <sheetViews>
    <sheetView zoomScale="96" workbookViewId="0" zoomToFit="1"/>
  </sheetViews>
  <pageMargins left="0.75" right="0.75" top="1" bottom="1" header="0.5" footer="0.5"/>
  <pageSetup orientation="landscape" horizontalDpi="4294967292" verticalDpi="4294967292"/>
  <drawing r:id="rId1"/>
</chartsheet>
</file>

<file path=xl/chartsheets/sheet21.xml><?xml version="1.0" encoding="utf-8"?>
<chartsheet xmlns="http://schemas.openxmlformats.org/spreadsheetml/2006/main" xmlns:r="http://schemas.openxmlformats.org/officeDocument/2006/relationships">
  <sheetPr/>
  <sheetViews>
    <sheetView zoomScale="96" workbookViewId="0" zoomToFit="1"/>
  </sheetViews>
  <pageMargins left="0.75" right="0.75" top="1" bottom="1" header="0.5" footer="0.5"/>
  <pageSetup orientation="landscape" horizontalDpi="4294967292" verticalDpi="4294967292"/>
  <drawing r:id="rId1"/>
</chartsheet>
</file>

<file path=xl/chartsheets/sheet22.xml><?xml version="1.0" encoding="utf-8"?>
<chartsheet xmlns="http://schemas.openxmlformats.org/spreadsheetml/2006/main" xmlns:r="http://schemas.openxmlformats.org/officeDocument/2006/relationships">
  <sheetPr/>
  <sheetViews>
    <sheetView zoomScale="96" workbookViewId="0" zoomToFit="1"/>
  </sheetViews>
  <pageMargins left="0.75" right="0.75" top="1" bottom="1" header="0.5" footer="0.5"/>
  <pageSetup orientation="landscape" horizontalDpi="4294967292" verticalDpi="4294967292"/>
  <drawing r:id="rId1"/>
</chartsheet>
</file>

<file path=xl/chartsheets/sheet23.xml><?xml version="1.0" encoding="utf-8"?>
<chartsheet xmlns="http://schemas.openxmlformats.org/spreadsheetml/2006/main" xmlns:r="http://schemas.openxmlformats.org/officeDocument/2006/relationships">
  <sheetPr/>
  <sheetViews>
    <sheetView tabSelected="1" zoomScale="96" workbookViewId="0" zoomToFit="1"/>
  </sheetViews>
  <pageMargins left="0.75" right="0.75" top="1" bottom="1" header="0.5" footer="0.5"/>
  <pageSetup orientation="landscape" horizontalDpi="4294967292" verticalDpi="4294967292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083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083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083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083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083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083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083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083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083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083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083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083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083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083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083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083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7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083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8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083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9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083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0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083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1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083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2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083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3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083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CS185"/>
  <sheetViews>
    <sheetView view="pageLayout" topLeftCell="CN1" workbookViewId="0">
      <selection activeCell="CS2" sqref="CS2"/>
    </sheetView>
  </sheetViews>
  <sheetFormatPr baseColWidth="10" defaultRowHeight="13"/>
  <cols>
    <col min="1" max="1" width="22" bestFit="1" customWidth="1"/>
    <col min="2" max="2" width="21" bestFit="1" customWidth="1"/>
    <col min="3" max="3" width="22" bestFit="1" customWidth="1"/>
    <col min="4" max="4" width="7.42578125" bestFit="1" customWidth="1"/>
    <col min="5" max="5" width="6.28515625" bestFit="1" customWidth="1"/>
    <col min="6" max="6" width="9" bestFit="1" customWidth="1"/>
    <col min="7" max="7" width="15.85546875" bestFit="1" customWidth="1"/>
    <col min="8" max="8" width="16.5703125" bestFit="1" customWidth="1"/>
    <col min="9" max="9" width="10" bestFit="1" customWidth="1"/>
    <col min="10" max="10" width="7.28515625" bestFit="1" customWidth="1"/>
    <col min="11" max="11" width="7.140625" bestFit="1" customWidth="1"/>
    <col min="12" max="12" width="8.140625" bestFit="1" customWidth="1"/>
    <col min="13" max="13" width="7.85546875" bestFit="1" customWidth="1"/>
    <col min="14" max="14" width="8.85546875" bestFit="1" customWidth="1"/>
    <col min="15" max="15" width="7.42578125" bestFit="1" customWidth="1"/>
    <col min="16" max="16" width="8.42578125" bestFit="1" customWidth="1"/>
    <col min="17" max="17" width="7" bestFit="1" customWidth="1"/>
    <col min="18" max="18" width="10" bestFit="1" customWidth="1"/>
    <col min="19" max="19" width="9" bestFit="1" customWidth="1"/>
    <col min="20" max="23" width="10" bestFit="1" customWidth="1"/>
    <col min="24" max="24" width="11" bestFit="1" customWidth="1"/>
    <col min="25" max="25" width="14.42578125" style="2" bestFit="1" customWidth="1"/>
    <col min="26" max="26" width="10" bestFit="1" customWidth="1"/>
    <col min="27" max="27" width="9" bestFit="1" customWidth="1"/>
    <col min="28" max="28" width="10.42578125" bestFit="1" customWidth="1"/>
    <col min="29" max="29" width="6.28515625" bestFit="1" customWidth="1"/>
    <col min="30" max="30" width="5.28515625" bestFit="1" customWidth="1"/>
    <col min="31" max="31" width="6.42578125" bestFit="1" customWidth="1"/>
    <col min="32" max="32" width="7.7109375" bestFit="1" customWidth="1"/>
    <col min="33" max="33" width="13" bestFit="1" customWidth="1"/>
    <col min="34" max="34" width="10.28515625" bestFit="1" customWidth="1"/>
    <col min="35" max="35" width="11.5703125" bestFit="1" customWidth="1"/>
    <col min="36" max="36" width="12.5703125" bestFit="1" customWidth="1"/>
    <col min="37" max="37" width="8.42578125" bestFit="1" customWidth="1"/>
    <col min="38" max="38" width="9.85546875" bestFit="1" customWidth="1"/>
    <col min="39" max="45" width="7.42578125" bestFit="1" customWidth="1"/>
    <col min="46" max="46" width="6.7109375" bestFit="1" customWidth="1"/>
    <col min="47" max="47" width="7" bestFit="1" customWidth="1"/>
    <col min="48" max="49" width="6.42578125" bestFit="1" customWidth="1"/>
    <col min="50" max="50" width="8" bestFit="1" customWidth="1"/>
    <col min="51" max="53" width="6.42578125" bestFit="1" customWidth="1"/>
    <col min="54" max="54" width="6.140625" bestFit="1" customWidth="1"/>
    <col min="55" max="55" width="8" bestFit="1" customWidth="1"/>
    <col min="56" max="56" width="9.42578125" bestFit="1" customWidth="1"/>
    <col min="57" max="57" width="14.28515625" bestFit="1" customWidth="1"/>
    <col min="58" max="58" width="9.140625" bestFit="1" customWidth="1"/>
    <col min="59" max="59" width="8" bestFit="1" customWidth="1"/>
    <col min="60" max="60" width="7.140625" bestFit="1" customWidth="1"/>
    <col min="61" max="61" width="9" bestFit="1" customWidth="1"/>
    <col min="62" max="63" width="10.42578125" bestFit="1" customWidth="1"/>
    <col min="64" max="64" width="9.85546875" bestFit="1" customWidth="1"/>
    <col min="65" max="65" width="9" bestFit="1" customWidth="1"/>
    <col min="66" max="66" width="8" bestFit="1" customWidth="1"/>
    <col min="67" max="67" width="9" bestFit="1" customWidth="1"/>
    <col min="68" max="69" width="10" bestFit="1" customWidth="1"/>
    <col min="70" max="70" width="9" bestFit="1" customWidth="1"/>
    <col min="71" max="71" width="16.42578125" bestFit="1" customWidth="1"/>
    <col min="72" max="72" width="17.42578125" bestFit="1" customWidth="1"/>
    <col min="73" max="73" width="17" bestFit="1" customWidth="1"/>
    <col min="74" max="75" width="11.42578125" bestFit="1" customWidth="1"/>
    <col min="76" max="77" width="10.42578125" bestFit="1" customWidth="1"/>
    <col min="78" max="79" width="11.5703125" bestFit="1" customWidth="1"/>
    <col min="80" max="81" width="11.7109375" bestFit="1" customWidth="1"/>
    <col min="82" max="83" width="11.140625" bestFit="1" customWidth="1"/>
    <col min="84" max="85" width="11.28515625" bestFit="1" customWidth="1"/>
    <col min="86" max="86" width="6.5703125" bestFit="1" customWidth="1"/>
    <col min="87" max="87" width="10.28515625" bestFit="1" customWidth="1"/>
    <col min="88" max="89" width="9.42578125" bestFit="1" customWidth="1"/>
    <col min="90" max="90" width="9.5703125" bestFit="1" customWidth="1"/>
    <col min="91" max="92" width="8" bestFit="1" customWidth="1"/>
    <col min="94" max="94" width="9.28515625" bestFit="1" customWidth="1"/>
    <col min="95" max="95" width="13.85546875" bestFit="1" customWidth="1"/>
    <col min="96" max="96" width="12.42578125" bestFit="1" customWidth="1"/>
  </cols>
  <sheetData>
    <row r="1" spans="1:97" ht="15">
      <c r="A1" t="s">
        <v>289</v>
      </c>
      <c r="B1" t="s">
        <v>290</v>
      </c>
      <c r="C1" t="s">
        <v>291</v>
      </c>
      <c r="D1" t="s">
        <v>292</v>
      </c>
      <c r="E1" t="s">
        <v>293</v>
      </c>
      <c r="F1" t="s">
        <v>294</v>
      </c>
      <c r="G1" t="s">
        <v>295</v>
      </c>
      <c r="H1" t="s">
        <v>296</v>
      </c>
      <c r="I1" t="s">
        <v>297</v>
      </c>
      <c r="J1" t="s">
        <v>298</v>
      </c>
      <c r="K1" t="s">
        <v>299</v>
      </c>
      <c r="L1" t="s">
        <v>300</v>
      </c>
      <c r="M1" t="s">
        <v>301</v>
      </c>
      <c r="N1" t="s">
        <v>302</v>
      </c>
      <c r="O1" t="s">
        <v>274</v>
      </c>
      <c r="P1" t="s">
        <v>275</v>
      </c>
      <c r="Q1" t="s">
        <v>276</v>
      </c>
      <c r="R1" t="s">
        <v>277</v>
      </c>
      <c r="S1" t="s">
        <v>278</v>
      </c>
      <c r="T1" t="s">
        <v>279</v>
      </c>
      <c r="U1" t="s">
        <v>280</v>
      </c>
      <c r="V1" t="s">
        <v>281</v>
      </c>
      <c r="W1" t="s">
        <v>284</v>
      </c>
      <c r="X1" t="s">
        <v>283</v>
      </c>
      <c r="Y1" s="2" t="s">
        <v>78</v>
      </c>
      <c r="Z1" t="s">
        <v>285</v>
      </c>
      <c r="AA1" t="s">
        <v>286</v>
      </c>
      <c r="AB1" t="s">
        <v>287</v>
      </c>
      <c r="AC1" t="s">
        <v>288</v>
      </c>
      <c r="AD1" t="s">
        <v>303</v>
      </c>
      <c r="AE1" t="s">
        <v>304</v>
      </c>
      <c r="AF1" t="s">
        <v>98</v>
      </c>
      <c r="AG1" t="s">
        <v>99</v>
      </c>
      <c r="AH1" t="s">
        <v>100</v>
      </c>
      <c r="AI1" t="s">
        <v>101</v>
      </c>
      <c r="AJ1" t="s">
        <v>102</v>
      </c>
      <c r="AK1" t="s">
        <v>282</v>
      </c>
      <c r="AL1" t="s">
        <v>103</v>
      </c>
      <c r="AM1" t="s">
        <v>104</v>
      </c>
      <c r="AN1" t="s">
        <v>105</v>
      </c>
      <c r="AO1" t="s">
        <v>106</v>
      </c>
      <c r="AP1" t="s">
        <v>107</v>
      </c>
      <c r="AQ1" t="s">
        <v>108</v>
      </c>
      <c r="AR1" t="s">
        <v>109</v>
      </c>
      <c r="AS1" t="s">
        <v>110</v>
      </c>
      <c r="AT1" t="s">
        <v>111</v>
      </c>
      <c r="AU1" t="s">
        <v>199</v>
      </c>
      <c r="AV1" t="s">
        <v>200</v>
      </c>
      <c r="AW1" t="s">
        <v>201</v>
      </c>
      <c r="AX1" t="s">
        <v>202</v>
      </c>
      <c r="AY1" t="s">
        <v>203</v>
      </c>
      <c r="AZ1" t="s">
        <v>204</v>
      </c>
      <c r="BA1" t="s">
        <v>205</v>
      </c>
      <c r="BB1" t="s">
        <v>206</v>
      </c>
      <c r="BC1" t="s">
        <v>207</v>
      </c>
      <c r="BD1" t="s">
        <v>208</v>
      </c>
      <c r="BE1" t="s">
        <v>209</v>
      </c>
      <c r="BF1" t="s">
        <v>210</v>
      </c>
      <c r="BG1" t="s">
        <v>211</v>
      </c>
      <c r="BH1" t="s">
        <v>121</v>
      </c>
      <c r="BI1" t="s">
        <v>122</v>
      </c>
      <c r="BJ1" t="s">
        <v>123</v>
      </c>
      <c r="BK1" t="s">
        <v>124</v>
      </c>
      <c r="BL1" t="s">
        <v>125</v>
      </c>
      <c r="BM1" t="s">
        <v>126</v>
      </c>
      <c r="BN1" t="s">
        <v>127</v>
      </c>
      <c r="BO1" t="s">
        <v>128</v>
      </c>
      <c r="BP1" t="s">
        <v>129</v>
      </c>
      <c r="BQ1" t="s">
        <v>130</v>
      </c>
      <c r="BR1" t="s">
        <v>131</v>
      </c>
      <c r="BS1" t="s">
        <v>222</v>
      </c>
      <c r="BT1" t="s">
        <v>223</v>
      </c>
      <c r="BU1" t="s">
        <v>224</v>
      </c>
      <c r="BV1" t="s">
        <v>225</v>
      </c>
      <c r="BW1" t="s">
        <v>226</v>
      </c>
      <c r="BX1" t="s">
        <v>227</v>
      </c>
      <c r="BY1" t="s">
        <v>228</v>
      </c>
      <c r="BZ1" t="s">
        <v>140</v>
      </c>
      <c r="CA1" t="s">
        <v>141</v>
      </c>
      <c r="CB1" t="s">
        <v>142</v>
      </c>
      <c r="CC1" t="s">
        <v>143</v>
      </c>
      <c r="CD1" t="s">
        <v>144</v>
      </c>
      <c r="CE1" t="s">
        <v>145</v>
      </c>
      <c r="CF1" t="s">
        <v>146</v>
      </c>
      <c r="CG1" t="s">
        <v>147</v>
      </c>
      <c r="CH1" t="s">
        <v>148</v>
      </c>
      <c r="CI1" t="s">
        <v>236</v>
      </c>
      <c r="CJ1" t="s">
        <v>237</v>
      </c>
      <c r="CK1" t="s">
        <v>238</v>
      </c>
      <c r="CL1" t="s">
        <v>239</v>
      </c>
      <c r="CM1" t="s">
        <v>240</v>
      </c>
      <c r="CN1" t="s">
        <v>241</v>
      </c>
      <c r="CO1" t="s">
        <v>242</v>
      </c>
      <c r="CP1" t="s">
        <v>243</v>
      </c>
      <c r="CQ1" t="s">
        <v>244</v>
      </c>
      <c r="CR1" t="s">
        <v>156</v>
      </c>
      <c r="CS1" t="s">
        <v>212</v>
      </c>
    </row>
    <row r="2" spans="1:97">
      <c r="A2" t="s">
        <v>157</v>
      </c>
      <c r="B2" t="s">
        <v>158</v>
      </c>
      <c r="C2" t="s">
        <v>157</v>
      </c>
      <c r="D2">
        <v>2839</v>
      </c>
      <c r="E2">
        <v>42</v>
      </c>
      <c r="F2">
        <v>21.323530000000002</v>
      </c>
      <c r="G2">
        <v>335</v>
      </c>
      <c r="H2">
        <v>4.9106759999999996</v>
      </c>
      <c r="I2">
        <v>89095</v>
      </c>
      <c r="J2">
        <v>0.89</v>
      </c>
      <c r="K2">
        <v>358</v>
      </c>
      <c r="L2">
        <v>325</v>
      </c>
      <c r="M2">
        <v>294</v>
      </c>
      <c r="N2">
        <v>261</v>
      </c>
      <c r="O2">
        <v>588</v>
      </c>
      <c r="P2">
        <v>261</v>
      </c>
      <c r="Q2">
        <v>34</v>
      </c>
      <c r="R2">
        <v>6.5764000000000003E-2</v>
      </c>
      <c r="S2">
        <v>1.1264369999999999</v>
      </c>
      <c r="T2">
        <v>0.3783784</v>
      </c>
      <c r="U2">
        <v>0.48995870000000002</v>
      </c>
      <c r="V2">
        <v>0.35942560000000001</v>
      </c>
      <c r="W2">
        <v>0.64057439999999999</v>
      </c>
      <c r="X2">
        <v>4.3319999999999999E-3</v>
      </c>
      <c r="Y2" s="2">
        <f>X2*1000</f>
        <v>4.3319999999999999</v>
      </c>
      <c r="Z2">
        <v>74484733</v>
      </c>
      <c r="AA2">
        <v>51819968</v>
      </c>
      <c r="AB2">
        <v>12450</v>
      </c>
      <c r="AC2">
        <v>1.44</v>
      </c>
      <c r="AD2">
        <v>0.4</v>
      </c>
      <c r="AE2">
        <v>0.54</v>
      </c>
      <c r="AF2">
        <v>2.69</v>
      </c>
      <c r="AG2">
        <v>13764.8</v>
      </c>
      <c r="AH2">
        <v>130283</v>
      </c>
      <c r="AI2">
        <v>3881</v>
      </c>
      <c r="AJ2">
        <v>144048</v>
      </c>
      <c r="AK2">
        <v>68</v>
      </c>
      <c r="AL2">
        <v>2</v>
      </c>
      <c r="AM2">
        <v>3</v>
      </c>
      <c r="AN2">
        <v>0</v>
      </c>
      <c r="AO2">
        <v>17</v>
      </c>
      <c r="AP2">
        <v>274</v>
      </c>
      <c r="AQ2">
        <v>0</v>
      </c>
      <c r="AR2">
        <v>0</v>
      </c>
      <c r="AS2">
        <v>0</v>
      </c>
      <c r="AT2">
        <v>0</v>
      </c>
      <c r="AU2">
        <v>3881</v>
      </c>
      <c r="AV2">
        <v>0</v>
      </c>
      <c r="AW2">
        <v>9883</v>
      </c>
      <c r="AX2">
        <v>130283</v>
      </c>
      <c r="AY2">
        <v>0</v>
      </c>
      <c r="AZ2">
        <v>0</v>
      </c>
      <c r="BA2">
        <v>0</v>
      </c>
      <c r="BB2">
        <v>0</v>
      </c>
      <c r="BC2">
        <v>52718</v>
      </c>
      <c r="BD2">
        <v>67</v>
      </c>
      <c r="BE2">
        <v>195690</v>
      </c>
      <c r="BF2">
        <v>111</v>
      </c>
      <c r="BG2">
        <v>39845</v>
      </c>
      <c r="BH2">
        <v>1450</v>
      </c>
      <c r="BI2">
        <v>27.479310000000002</v>
      </c>
      <c r="BJ2">
        <v>27.021059999999999</v>
      </c>
      <c r="BK2">
        <v>27.021059999999999</v>
      </c>
      <c r="BL2">
        <v>27.021059999999999</v>
      </c>
      <c r="BM2">
        <v>514410.8</v>
      </c>
      <c r="BN2">
        <v>4972322</v>
      </c>
      <c r="BO2">
        <v>287.99189999999999</v>
      </c>
      <c r="BP2">
        <v>68.218710000000002</v>
      </c>
      <c r="BQ2">
        <v>0.87459880000000001</v>
      </c>
      <c r="BR2">
        <v>4.221597</v>
      </c>
      <c r="BS2">
        <v>29916.71</v>
      </c>
      <c r="BT2">
        <v>15279.76</v>
      </c>
      <c r="BU2">
        <v>3530.1509999999998</v>
      </c>
      <c r="BV2" s="1">
        <v>635100000</v>
      </c>
      <c r="BW2" s="1">
        <v>2217000000</v>
      </c>
      <c r="BX2" s="1">
        <v>195200000</v>
      </c>
      <c r="BY2" s="1">
        <v>682300000</v>
      </c>
      <c r="BZ2">
        <v>42144621</v>
      </c>
      <c r="CA2" s="1">
        <v>179000000</v>
      </c>
      <c r="CB2">
        <v>223695</v>
      </c>
      <c r="CC2">
        <v>780876</v>
      </c>
      <c r="CD2">
        <v>128147</v>
      </c>
      <c r="CE2">
        <v>447891</v>
      </c>
      <c r="CF2">
        <v>120070</v>
      </c>
      <c r="CG2">
        <v>508971</v>
      </c>
      <c r="CH2">
        <v>3</v>
      </c>
      <c r="CI2">
        <v>402</v>
      </c>
      <c r="CJ2">
        <v>478480</v>
      </c>
      <c r="CK2">
        <v>4980091</v>
      </c>
      <c r="CL2">
        <v>816</v>
      </c>
      <c r="CM2">
        <v>492625</v>
      </c>
      <c r="CN2">
        <v>4977029</v>
      </c>
      <c r="CO2">
        <v>36761.07</v>
      </c>
      <c r="CP2">
        <v>22288.45</v>
      </c>
      <c r="CQ2">
        <v>36.761069999999997</v>
      </c>
      <c r="CR2">
        <v>22.288440000000001</v>
      </c>
      <c r="CS2">
        <f>(BF2*D2)/N2</f>
        <v>1207.3908045977012</v>
      </c>
    </row>
    <row r="3" spans="1:97">
      <c r="A3" t="s">
        <v>159</v>
      </c>
      <c r="B3" t="s">
        <v>160</v>
      </c>
      <c r="C3" t="s">
        <v>159</v>
      </c>
      <c r="D3">
        <v>26588</v>
      </c>
      <c r="E3">
        <v>295</v>
      </c>
      <c r="F3">
        <v>153.31110000000001</v>
      </c>
      <c r="G3">
        <v>3303</v>
      </c>
      <c r="H3">
        <v>36.601990000000001</v>
      </c>
      <c r="I3">
        <v>76241</v>
      </c>
      <c r="J3">
        <v>0.89</v>
      </c>
      <c r="K3">
        <v>1812</v>
      </c>
      <c r="L3">
        <v>1484</v>
      </c>
      <c r="M3">
        <v>1470</v>
      </c>
      <c r="N3">
        <v>1142</v>
      </c>
      <c r="O3">
        <v>2940</v>
      </c>
      <c r="P3">
        <v>1142</v>
      </c>
      <c r="Q3">
        <v>329</v>
      </c>
      <c r="R3">
        <v>0.14436160000000001</v>
      </c>
      <c r="S3">
        <v>1.287215</v>
      </c>
      <c r="T3">
        <v>0.4298246</v>
      </c>
      <c r="U3">
        <v>0.24821190000000001</v>
      </c>
      <c r="V3">
        <v>0.17706469999999999</v>
      </c>
      <c r="W3">
        <v>0.82293530000000004</v>
      </c>
      <c r="X3">
        <v>1.1280000000000001E-3</v>
      </c>
      <c r="Y3" s="2">
        <f t="shared" ref="Y3:Y66" si="0">X3*1000</f>
        <v>1.1280000000000001</v>
      </c>
      <c r="Z3">
        <v>84663718</v>
      </c>
      <c r="AA3">
        <v>60392938</v>
      </c>
      <c r="AB3">
        <v>12400</v>
      </c>
      <c r="AC3">
        <v>1.4</v>
      </c>
      <c r="AD3">
        <v>0.02</v>
      </c>
      <c r="AE3">
        <v>7.0000000000000007E-2</v>
      </c>
      <c r="AF3">
        <v>0</v>
      </c>
      <c r="AG3">
        <v>0</v>
      </c>
      <c r="AH3">
        <v>364871.5</v>
      </c>
      <c r="AI3">
        <v>0</v>
      </c>
      <c r="AJ3">
        <v>364872</v>
      </c>
      <c r="AK3">
        <v>90</v>
      </c>
      <c r="AL3">
        <v>4</v>
      </c>
      <c r="AM3">
        <v>0</v>
      </c>
      <c r="AN3">
        <v>0</v>
      </c>
      <c r="AO3">
        <v>0</v>
      </c>
      <c r="AP3">
        <v>1454</v>
      </c>
      <c r="AQ3">
        <v>0</v>
      </c>
      <c r="AR3">
        <v>0</v>
      </c>
      <c r="AS3">
        <v>0</v>
      </c>
      <c r="AT3">
        <v>16</v>
      </c>
      <c r="AU3">
        <v>0</v>
      </c>
      <c r="AV3">
        <v>0</v>
      </c>
      <c r="AW3">
        <v>0</v>
      </c>
      <c r="AX3">
        <v>361786</v>
      </c>
      <c r="AY3">
        <v>0</v>
      </c>
      <c r="AZ3">
        <v>0</v>
      </c>
      <c r="BA3">
        <v>0</v>
      </c>
      <c r="BB3">
        <v>3085</v>
      </c>
      <c r="BC3">
        <v>404927</v>
      </c>
      <c r="BD3">
        <v>208</v>
      </c>
      <c r="BE3">
        <v>412153</v>
      </c>
      <c r="BF3">
        <v>25</v>
      </c>
      <c r="BG3">
        <v>420040</v>
      </c>
      <c r="BH3">
        <v>13798</v>
      </c>
      <c r="BI3">
        <v>30.44209</v>
      </c>
      <c r="BJ3">
        <v>26.395669999999999</v>
      </c>
      <c r="BK3">
        <v>26.395669999999999</v>
      </c>
      <c r="BL3">
        <v>26.395669999999999</v>
      </c>
      <c r="BM3">
        <v>474383.1</v>
      </c>
      <c r="BN3">
        <v>5011560</v>
      </c>
      <c r="BO3">
        <v>799.99760000000003</v>
      </c>
      <c r="BP3">
        <v>90.240979999999993</v>
      </c>
      <c r="BQ3">
        <v>0.20745050000000001</v>
      </c>
      <c r="BR3">
        <v>8.8651260000000001</v>
      </c>
      <c r="BS3">
        <v>212477.3</v>
      </c>
      <c r="BT3">
        <v>110266.3</v>
      </c>
      <c r="BU3">
        <v>26395.84</v>
      </c>
      <c r="BV3" s="1">
        <v>7452000000</v>
      </c>
      <c r="BW3" s="1">
        <v>20110000000</v>
      </c>
      <c r="BX3" s="1">
        <v>2647000000</v>
      </c>
      <c r="BY3" s="1">
        <v>7453000000</v>
      </c>
      <c r="BZ3" s="1">
        <v>316700000</v>
      </c>
      <c r="CA3" s="1">
        <v>1430000000</v>
      </c>
      <c r="CB3">
        <v>326872</v>
      </c>
      <c r="CC3">
        <v>881994</v>
      </c>
      <c r="CD3">
        <v>216746</v>
      </c>
      <c r="CE3">
        <v>610312</v>
      </c>
      <c r="CF3">
        <v>120610</v>
      </c>
      <c r="CG3">
        <v>545456</v>
      </c>
      <c r="CH3">
        <v>3</v>
      </c>
      <c r="CI3">
        <v>402</v>
      </c>
      <c r="CJ3">
        <v>478480</v>
      </c>
      <c r="CK3">
        <v>4980091</v>
      </c>
      <c r="CL3">
        <v>816</v>
      </c>
      <c r="CM3">
        <v>492625</v>
      </c>
      <c r="CN3">
        <v>4977029</v>
      </c>
      <c r="CO3">
        <v>31734.57</v>
      </c>
      <c r="CP3">
        <v>39053.269999999997</v>
      </c>
      <c r="CQ3">
        <v>31.734570000000001</v>
      </c>
      <c r="CR3">
        <v>39.053269999999998</v>
      </c>
      <c r="CS3">
        <f t="shared" ref="CS3:CS66" si="1">(BF3*D3)/N3</f>
        <v>582.04903677758318</v>
      </c>
    </row>
    <row r="4" spans="1:97">
      <c r="A4" t="s">
        <v>161</v>
      </c>
      <c r="B4" t="s">
        <v>160</v>
      </c>
      <c r="C4" t="s">
        <v>161</v>
      </c>
      <c r="D4">
        <v>18076</v>
      </c>
      <c r="E4">
        <v>993</v>
      </c>
      <c r="F4">
        <v>502</v>
      </c>
      <c r="G4">
        <v>13297</v>
      </c>
      <c r="H4">
        <v>730.57510000000002</v>
      </c>
      <c r="I4">
        <v>42659</v>
      </c>
      <c r="J4">
        <v>0.85</v>
      </c>
      <c r="K4">
        <v>970</v>
      </c>
      <c r="L4">
        <v>698</v>
      </c>
      <c r="M4">
        <v>866</v>
      </c>
      <c r="N4">
        <v>594</v>
      </c>
      <c r="O4">
        <v>1732</v>
      </c>
      <c r="P4">
        <v>594</v>
      </c>
      <c r="Q4">
        <v>273</v>
      </c>
      <c r="R4">
        <v>0.23076920000000001</v>
      </c>
      <c r="S4">
        <v>1.4579120000000001</v>
      </c>
      <c r="T4">
        <v>0.48761260000000001</v>
      </c>
      <c r="U4">
        <v>0.1619584</v>
      </c>
      <c r="V4">
        <v>0.1390972</v>
      </c>
      <c r="W4">
        <v>0.86090279999999997</v>
      </c>
      <c r="X4">
        <v>2.4589999999999998E-3</v>
      </c>
      <c r="Y4" s="2">
        <f t="shared" si="0"/>
        <v>2.4589999999999996</v>
      </c>
      <c r="Z4">
        <v>36558935</v>
      </c>
      <c r="AA4">
        <v>26393579</v>
      </c>
      <c r="AB4">
        <v>12500</v>
      </c>
      <c r="AC4">
        <v>1.39</v>
      </c>
      <c r="AD4">
        <v>0.56999999999999995</v>
      </c>
      <c r="AE4">
        <v>0.67</v>
      </c>
      <c r="AF4">
        <v>0</v>
      </c>
      <c r="AG4">
        <v>12286.54</v>
      </c>
      <c r="AH4">
        <v>127969.4</v>
      </c>
      <c r="AI4">
        <v>0</v>
      </c>
      <c r="AJ4">
        <v>140256</v>
      </c>
      <c r="AK4">
        <v>18</v>
      </c>
      <c r="AL4">
        <v>8</v>
      </c>
      <c r="AM4">
        <v>0</v>
      </c>
      <c r="AN4">
        <v>52</v>
      </c>
      <c r="AO4">
        <v>11</v>
      </c>
      <c r="AP4">
        <v>787</v>
      </c>
      <c r="AQ4">
        <v>0</v>
      </c>
      <c r="AR4">
        <v>12</v>
      </c>
      <c r="AS4">
        <v>4</v>
      </c>
      <c r="AT4">
        <v>0</v>
      </c>
      <c r="AU4">
        <v>0</v>
      </c>
      <c r="AV4">
        <v>9965</v>
      </c>
      <c r="AW4">
        <v>2322</v>
      </c>
      <c r="AX4">
        <v>124541</v>
      </c>
      <c r="AY4">
        <v>0</v>
      </c>
      <c r="AZ4">
        <v>2752</v>
      </c>
      <c r="BA4">
        <v>676</v>
      </c>
      <c r="BB4">
        <v>0</v>
      </c>
      <c r="BC4">
        <v>403745</v>
      </c>
      <c r="BD4">
        <v>82</v>
      </c>
      <c r="BE4">
        <v>399442</v>
      </c>
      <c r="BF4">
        <v>36</v>
      </c>
      <c r="BG4">
        <v>229630</v>
      </c>
      <c r="BH4">
        <v>9036</v>
      </c>
      <c r="BI4">
        <v>25.412790000000001</v>
      </c>
      <c r="BJ4">
        <v>27.114360000000001</v>
      </c>
      <c r="BK4">
        <v>27.114360000000001</v>
      </c>
      <c r="BL4">
        <v>27.114360000000001</v>
      </c>
      <c r="BM4">
        <v>469410.4</v>
      </c>
      <c r="BN4">
        <v>5006344</v>
      </c>
      <c r="BO4">
        <v>338.32420000000002</v>
      </c>
      <c r="BP4">
        <v>18.20073</v>
      </c>
      <c r="BQ4">
        <v>5.1414500000000002E-2</v>
      </c>
      <c r="BR4">
        <v>18.5885</v>
      </c>
      <c r="BS4">
        <v>774121.8</v>
      </c>
      <c r="BT4">
        <v>386975.3</v>
      </c>
      <c r="BU4">
        <v>569456.6</v>
      </c>
      <c r="BV4" s="1">
        <v>9354000000</v>
      </c>
      <c r="BW4" s="1">
        <v>26120000000</v>
      </c>
      <c r="BX4" s="1">
        <v>3473000000</v>
      </c>
      <c r="BY4" s="1">
        <v>9228000000</v>
      </c>
      <c r="BZ4" s="1">
        <v>2888000000</v>
      </c>
      <c r="CA4" s="1">
        <v>12900000000</v>
      </c>
      <c r="CB4">
        <v>452257</v>
      </c>
      <c r="CC4">
        <v>1262973</v>
      </c>
      <c r="CD4">
        <v>320366</v>
      </c>
      <c r="CE4">
        <v>851095</v>
      </c>
      <c r="CF4">
        <v>192332</v>
      </c>
      <c r="CG4">
        <v>858725</v>
      </c>
      <c r="CH4">
        <v>3</v>
      </c>
      <c r="CI4">
        <v>402</v>
      </c>
      <c r="CJ4">
        <v>478480</v>
      </c>
      <c r="CK4">
        <v>4980091</v>
      </c>
      <c r="CL4">
        <v>816</v>
      </c>
      <c r="CM4">
        <v>492625</v>
      </c>
      <c r="CN4">
        <v>4977029</v>
      </c>
      <c r="CO4">
        <v>27775.02</v>
      </c>
      <c r="CP4">
        <v>37393.300000000003</v>
      </c>
      <c r="CQ4">
        <v>27.775020000000001</v>
      </c>
      <c r="CR4">
        <v>37.393300000000004</v>
      </c>
      <c r="CS4">
        <f t="shared" si="1"/>
        <v>1095.5151515151515</v>
      </c>
    </row>
    <row r="5" spans="1:97">
      <c r="A5" t="s">
        <v>162</v>
      </c>
      <c r="B5" t="s">
        <v>163</v>
      </c>
      <c r="C5" t="s">
        <v>162</v>
      </c>
      <c r="D5">
        <v>45527</v>
      </c>
      <c r="E5">
        <v>1006</v>
      </c>
      <c r="F5">
        <v>560.57780000000002</v>
      </c>
      <c r="G5">
        <v>11789</v>
      </c>
      <c r="H5">
        <v>260.5437</v>
      </c>
      <c r="I5">
        <v>69752</v>
      </c>
      <c r="J5">
        <v>0.88</v>
      </c>
      <c r="K5">
        <v>2215</v>
      </c>
      <c r="L5">
        <v>1795</v>
      </c>
      <c r="M5">
        <v>2091</v>
      </c>
      <c r="N5">
        <v>1671</v>
      </c>
      <c r="O5">
        <v>4182</v>
      </c>
      <c r="P5">
        <v>1671</v>
      </c>
      <c r="Q5">
        <v>421</v>
      </c>
      <c r="R5">
        <v>0.1261612</v>
      </c>
      <c r="S5">
        <v>1.2513460000000001</v>
      </c>
      <c r="T5">
        <v>0.41761530000000002</v>
      </c>
      <c r="U5">
        <v>0.16336120000000001</v>
      </c>
      <c r="V5">
        <v>0.21166560000000001</v>
      </c>
      <c r="W5">
        <v>0.78833439999999999</v>
      </c>
      <c r="X5">
        <v>7.4899999999999999E-4</v>
      </c>
      <c r="Y5" s="2">
        <f t="shared" si="0"/>
        <v>0.749</v>
      </c>
      <c r="Z5">
        <v>56320095</v>
      </c>
      <c r="AA5">
        <v>42430485</v>
      </c>
      <c r="AB5">
        <v>12500</v>
      </c>
      <c r="AC5">
        <v>1.33</v>
      </c>
      <c r="AD5">
        <v>0.36</v>
      </c>
      <c r="AE5">
        <v>0.35</v>
      </c>
      <c r="AF5">
        <v>0.68</v>
      </c>
      <c r="AG5">
        <v>2337.3200000000002</v>
      </c>
      <c r="AH5">
        <v>339251</v>
      </c>
      <c r="AI5">
        <v>2337</v>
      </c>
      <c r="AJ5">
        <v>341588</v>
      </c>
      <c r="AK5">
        <v>45</v>
      </c>
      <c r="AL5">
        <v>8</v>
      </c>
      <c r="AM5">
        <v>2</v>
      </c>
      <c r="AN5">
        <v>0</v>
      </c>
      <c r="AO5">
        <v>0</v>
      </c>
      <c r="AP5">
        <v>1965</v>
      </c>
      <c r="AQ5">
        <v>0</v>
      </c>
      <c r="AR5">
        <v>10</v>
      </c>
      <c r="AS5">
        <v>114</v>
      </c>
      <c r="AT5">
        <v>0</v>
      </c>
      <c r="AU5">
        <v>2337</v>
      </c>
      <c r="AV5">
        <v>0</v>
      </c>
      <c r="AW5">
        <v>0</v>
      </c>
      <c r="AX5">
        <v>324467</v>
      </c>
      <c r="AY5">
        <v>0</v>
      </c>
      <c r="AZ5">
        <v>2926</v>
      </c>
      <c r="BA5">
        <v>11858</v>
      </c>
      <c r="BB5">
        <v>0</v>
      </c>
      <c r="BC5">
        <v>797497</v>
      </c>
      <c r="BD5">
        <v>185</v>
      </c>
      <c r="BE5">
        <v>801185</v>
      </c>
      <c r="BF5">
        <v>28</v>
      </c>
      <c r="BG5">
        <v>601585</v>
      </c>
      <c r="BH5">
        <v>25226</v>
      </c>
      <c r="BI5">
        <v>23.847819999999999</v>
      </c>
      <c r="BJ5">
        <v>25.04644</v>
      </c>
      <c r="BK5">
        <v>25.04644</v>
      </c>
      <c r="BL5">
        <v>25.04644</v>
      </c>
      <c r="BM5">
        <v>484130.1</v>
      </c>
      <c r="BN5">
        <v>4954711</v>
      </c>
      <c r="BO5">
        <v>583.92740000000003</v>
      </c>
      <c r="BP5">
        <v>45.247680000000003</v>
      </c>
      <c r="BQ5">
        <v>9.7938700000000004E-2</v>
      </c>
      <c r="BR5">
        <v>12.90513</v>
      </c>
      <c r="BS5">
        <v>728754.9</v>
      </c>
      <c r="BT5">
        <v>403794.9</v>
      </c>
      <c r="BU5">
        <v>188707.6</v>
      </c>
      <c r="BV5" s="1">
        <v>25740000000</v>
      </c>
      <c r="BW5" s="1">
        <v>75110000000</v>
      </c>
      <c r="BX5" s="1">
        <v>10350000000</v>
      </c>
      <c r="BY5" s="1">
        <v>26010000000</v>
      </c>
      <c r="BZ5" s="1">
        <v>4001000000</v>
      </c>
      <c r="CA5" s="1">
        <v>13900000000</v>
      </c>
      <c r="CB5">
        <v>565375</v>
      </c>
      <c r="CC5">
        <v>1649703</v>
      </c>
      <c r="CD5">
        <v>394766</v>
      </c>
      <c r="CE5">
        <v>991791</v>
      </c>
      <c r="CF5">
        <v>330510</v>
      </c>
      <c r="CG5">
        <v>1150271</v>
      </c>
      <c r="CH5">
        <v>3</v>
      </c>
      <c r="CI5">
        <v>402</v>
      </c>
      <c r="CJ5">
        <v>478480</v>
      </c>
      <c r="CK5">
        <v>4980091</v>
      </c>
      <c r="CL5">
        <v>816</v>
      </c>
      <c r="CM5">
        <v>492625</v>
      </c>
      <c r="CN5">
        <v>4977029</v>
      </c>
      <c r="CO5">
        <v>26001.79</v>
      </c>
      <c r="CP5">
        <v>23880.52</v>
      </c>
      <c r="CQ5">
        <v>26.00179</v>
      </c>
      <c r="CR5">
        <v>23.880520000000001</v>
      </c>
      <c r="CS5">
        <f t="shared" si="1"/>
        <v>762.87013764213043</v>
      </c>
    </row>
    <row r="6" spans="1:97">
      <c r="A6" t="s">
        <v>164</v>
      </c>
      <c r="B6" t="s">
        <v>165</v>
      </c>
      <c r="C6" t="s">
        <v>164</v>
      </c>
      <c r="D6">
        <v>9652</v>
      </c>
      <c r="E6">
        <v>388</v>
      </c>
      <c r="F6">
        <v>186.48</v>
      </c>
      <c r="G6">
        <v>12231</v>
      </c>
      <c r="H6">
        <v>491.10849999999999</v>
      </c>
      <c r="I6">
        <v>64773</v>
      </c>
      <c r="J6">
        <v>0.82</v>
      </c>
      <c r="K6">
        <v>770</v>
      </c>
      <c r="L6">
        <v>613</v>
      </c>
      <c r="M6">
        <v>623</v>
      </c>
      <c r="N6">
        <v>466</v>
      </c>
      <c r="O6">
        <v>1246</v>
      </c>
      <c r="P6">
        <v>466</v>
      </c>
      <c r="Q6">
        <v>158</v>
      </c>
      <c r="R6">
        <v>0.17044229999999999</v>
      </c>
      <c r="S6">
        <v>1.33691</v>
      </c>
      <c r="T6">
        <v>0.4475575</v>
      </c>
      <c r="U6">
        <v>0.25790150000000001</v>
      </c>
      <c r="V6">
        <v>0.15650839999999999</v>
      </c>
      <c r="W6">
        <v>0.84349160000000001</v>
      </c>
      <c r="X6">
        <v>2.875E-3</v>
      </c>
      <c r="Y6" s="2">
        <f t="shared" si="0"/>
        <v>2.875</v>
      </c>
      <c r="Z6">
        <v>53437359</v>
      </c>
      <c r="AA6">
        <v>39839265</v>
      </c>
      <c r="AB6">
        <v>12500</v>
      </c>
      <c r="AC6">
        <v>1.34</v>
      </c>
      <c r="AD6">
        <v>0.96</v>
      </c>
      <c r="AE6">
        <v>0.98</v>
      </c>
      <c r="AF6">
        <v>7.06</v>
      </c>
      <c r="AG6">
        <v>18436.509999999998</v>
      </c>
      <c r="AH6">
        <v>142236.1</v>
      </c>
      <c r="AI6">
        <v>11338</v>
      </c>
      <c r="AJ6">
        <v>160673</v>
      </c>
      <c r="AK6">
        <v>25</v>
      </c>
      <c r="AL6">
        <v>6</v>
      </c>
      <c r="AM6">
        <v>39</v>
      </c>
      <c r="AN6">
        <v>13</v>
      </c>
      <c r="AO6">
        <v>12</v>
      </c>
      <c r="AP6">
        <v>523</v>
      </c>
      <c r="AQ6">
        <v>0</v>
      </c>
      <c r="AR6">
        <v>31</v>
      </c>
      <c r="AS6">
        <v>5</v>
      </c>
      <c r="AT6">
        <v>0</v>
      </c>
      <c r="AU6">
        <v>11338</v>
      </c>
      <c r="AV6">
        <v>3294</v>
      </c>
      <c r="AW6">
        <v>3804</v>
      </c>
      <c r="AX6">
        <v>133271</v>
      </c>
      <c r="AY6">
        <v>0</v>
      </c>
      <c r="AZ6">
        <v>8557</v>
      </c>
      <c r="BA6">
        <v>408</v>
      </c>
      <c r="BB6">
        <v>0</v>
      </c>
      <c r="BC6">
        <v>916443</v>
      </c>
      <c r="BD6">
        <v>55</v>
      </c>
      <c r="BE6">
        <v>910276</v>
      </c>
      <c r="BF6">
        <v>152</v>
      </c>
      <c r="BG6">
        <v>84620</v>
      </c>
      <c r="BH6">
        <v>4662</v>
      </c>
      <c r="BI6">
        <v>18.151009999999999</v>
      </c>
      <c r="BJ6">
        <v>28.204529999999998</v>
      </c>
      <c r="BK6">
        <v>28.204529999999998</v>
      </c>
      <c r="BL6">
        <v>28.204529999999998</v>
      </c>
      <c r="BM6">
        <v>486853.1</v>
      </c>
      <c r="BN6">
        <v>4990984</v>
      </c>
      <c r="BO6">
        <v>228.65190000000001</v>
      </c>
      <c r="BP6">
        <v>24.904879999999999</v>
      </c>
      <c r="BQ6">
        <v>0.13991509999999999</v>
      </c>
      <c r="BR6">
        <v>9.1810069999999993</v>
      </c>
      <c r="BS6">
        <v>348570.7</v>
      </c>
      <c r="BT6">
        <v>168362.7</v>
      </c>
      <c r="BU6">
        <v>441708.3</v>
      </c>
      <c r="BV6" s="1">
        <v>14650000000</v>
      </c>
      <c r="BW6" s="1">
        <v>24490000000</v>
      </c>
      <c r="BX6" s="1">
        <v>4211000000</v>
      </c>
      <c r="BY6" s="1">
        <v>6972000000</v>
      </c>
      <c r="BZ6" s="1">
        <v>11830000000</v>
      </c>
      <c r="CA6" s="1">
        <v>20500000000</v>
      </c>
      <c r="CB6">
        <v>1401343</v>
      </c>
      <c r="CC6">
        <v>2342739</v>
      </c>
      <c r="CD6">
        <v>777700</v>
      </c>
      <c r="CE6">
        <v>1287451</v>
      </c>
      <c r="CF6">
        <v>905557</v>
      </c>
      <c r="CG6">
        <v>1565794</v>
      </c>
      <c r="CH6">
        <v>3</v>
      </c>
      <c r="CI6">
        <v>402</v>
      </c>
      <c r="CJ6">
        <v>478480</v>
      </c>
      <c r="CK6">
        <v>4980091</v>
      </c>
      <c r="CL6">
        <v>816</v>
      </c>
      <c r="CM6">
        <v>492625</v>
      </c>
      <c r="CN6">
        <v>4977029</v>
      </c>
      <c r="CO6">
        <v>13738.82</v>
      </c>
      <c r="CP6">
        <v>15101.09</v>
      </c>
      <c r="CQ6">
        <v>13.73882</v>
      </c>
      <c r="CR6">
        <v>15.101089999999999</v>
      </c>
      <c r="CS6">
        <f t="shared" si="1"/>
        <v>3148.2918454935621</v>
      </c>
    </row>
    <row r="7" spans="1:97">
      <c r="A7" t="s">
        <v>252</v>
      </c>
      <c r="B7" t="s">
        <v>158</v>
      </c>
      <c r="C7" t="s">
        <v>252</v>
      </c>
      <c r="D7">
        <v>3162</v>
      </c>
      <c r="E7">
        <v>711</v>
      </c>
      <c r="F7">
        <v>210.25</v>
      </c>
      <c r="G7">
        <v>5286</v>
      </c>
      <c r="H7">
        <v>1188.4469999999999</v>
      </c>
      <c r="I7">
        <v>53026</v>
      </c>
      <c r="J7">
        <v>0.81</v>
      </c>
      <c r="K7">
        <v>263</v>
      </c>
      <c r="L7">
        <v>200</v>
      </c>
      <c r="M7">
        <v>208</v>
      </c>
      <c r="N7">
        <v>145</v>
      </c>
      <c r="O7">
        <v>416</v>
      </c>
      <c r="P7">
        <v>145</v>
      </c>
      <c r="Q7">
        <v>64</v>
      </c>
      <c r="R7">
        <v>0.22456139999999999</v>
      </c>
      <c r="S7">
        <v>1.434483</v>
      </c>
      <c r="T7">
        <v>0.48484850000000002</v>
      </c>
      <c r="U7">
        <v>0.1677622</v>
      </c>
      <c r="V7">
        <v>0.25565349999999998</v>
      </c>
      <c r="W7">
        <v>0.74434650000000002</v>
      </c>
      <c r="X7">
        <v>9.9620000000000004E-3</v>
      </c>
      <c r="Y7" s="2">
        <f t="shared" si="0"/>
        <v>9.9619999999999997</v>
      </c>
      <c r="Z7">
        <v>15696521</v>
      </c>
      <c r="AA7">
        <v>11202152</v>
      </c>
      <c r="AB7">
        <v>11059</v>
      </c>
      <c r="AC7">
        <v>1.4</v>
      </c>
      <c r="AD7">
        <v>0.48</v>
      </c>
      <c r="AE7">
        <v>0.61</v>
      </c>
      <c r="AF7">
        <v>0</v>
      </c>
      <c r="AG7">
        <v>4642.1899999999996</v>
      </c>
      <c r="AH7">
        <v>30252.35</v>
      </c>
      <c r="AI7">
        <v>0</v>
      </c>
      <c r="AJ7">
        <v>34895</v>
      </c>
      <c r="AK7">
        <v>4</v>
      </c>
      <c r="AL7">
        <v>8</v>
      </c>
      <c r="AM7">
        <v>0</v>
      </c>
      <c r="AN7">
        <v>0</v>
      </c>
      <c r="AO7">
        <v>19</v>
      </c>
      <c r="AP7">
        <v>188</v>
      </c>
      <c r="AQ7">
        <v>0</v>
      </c>
      <c r="AR7">
        <v>0</v>
      </c>
      <c r="AS7">
        <v>1</v>
      </c>
      <c r="AT7">
        <v>0</v>
      </c>
      <c r="AU7">
        <v>0</v>
      </c>
      <c r="AV7">
        <v>0</v>
      </c>
      <c r="AW7">
        <v>4642</v>
      </c>
      <c r="AX7">
        <v>30081</v>
      </c>
      <c r="AY7">
        <v>0</v>
      </c>
      <c r="AZ7">
        <v>0</v>
      </c>
      <c r="BA7">
        <v>171</v>
      </c>
      <c r="BB7">
        <v>0</v>
      </c>
      <c r="BC7">
        <v>33364</v>
      </c>
      <c r="BD7">
        <v>17</v>
      </c>
      <c r="BE7">
        <v>36661</v>
      </c>
      <c r="BF7">
        <v>19</v>
      </c>
      <c r="BG7">
        <v>15435</v>
      </c>
      <c r="BH7">
        <v>841</v>
      </c>
      <c r="BI7">
        <v>18.353149999999999</v>
      </c>
      <c r="BJ7">
        <v>27.45571</v>
      </c>
      <c r="BK7">
        <v>27.45571</v>
      </c>
      <c r="BL7">
        <v>27.45571</v>
      </c>
      <c r="BM7">
        <v>517082.4</v>
      </c>
      <c r="BN7">
        <v>4984847</v>
      </c>
      <c r="BO7">
        <v>88.890010000000004</v>
      </c>
      <c r="BP7">
        <v>4.4478220000000004</v>
      </c>
      <c r="BQ7">
        <v>4.2360200000000001E-2</v>
      </c>
      <c r="BR7">
        <v>19.98507</v>
      </c>
      <c r="BS7">
        <v>555218.1</v>
      </c>
      <c r="BT7">
        <v>147671.9</v>
      </c>
      <c r="BU7">
        <v>928173</v>
      </c>
      <c r="BV7" s="1">
        <v>571100000</v>
      </c>
      <c r="BW7" s="1">
        <v>2426000000</v>
      </c>
      <c r="BX7">
        <v>81947775</v>
      </c>
      <c r="BY7" s="1">
        <v>342600000</v>
      </c>
      <c r="BZ7" s="1">
        <v>536600000</v>
      </c>
      <c r="CA7" s="1">
        <v>2420000000</v>
      </c>
      <c r="CB7">
        <v>198627</v>
      </c>
      <c r="CC7">
        <v>843994</v>
      </c>
      <c r="CD7">
        <v>112157</v>
      </c>
      <c r="CE7">
        <v>468850</v>
      </c>
      <c r="CF7">
        <v>109503</v>
      </c>
      <c r="CG7">
        <v>494055</v>
      </c>
      <c r="CH7">
        <v>3</v>
      </c>
      <c r="CI7">
        <v>402</v>
      </c>
      <c r="CJ7">
        <v>478480</v>
      </c>
      <c r="CK7">
        <v>4980091</v>
      </c>
      <c r="CL7">
        <v>816</v>
      </c>
      <c r="CM7">
        <v>492625</v>
      </c>
      <c r="CN7">
        <v>4977029</v>
      </c>
      <c r="CO7">
        <v>38894.29</v>
      </c>
      <c r="CP7">
        <v>25676.560000000001</v>
      </c>
      <c r="CQ7">
        <v>38.894280000000002</v>
      </c>
      <c r="CR7">
        <v>25.676559999999998</v>
      </c>
      <c r="CS7">
        <f t="shared" si="1"/>
        <v>414.33103448275864</v>
      </c>
    </row>
    <row r="8" spans="1:97">
      <c r="A8" t="s">
        <v>253</v>
      </c>
      <c r="B8" t="s">
        <v>158</v>
      </c>
      <c r="C8" t="s">
        <v>253</v>
      </c>
      <c r="D8">
        <v>1533</v>
      </c>
      <c r="E8">
        <v>64</v>
      </c>
      <c r="F8">
        <v>32.416670000000003</v>
      </c>
      <c r="G8">
        <v>159</v>
      </c>
      <c r="H8">
        <v>6.6731309999999997</v>
      </c>
      <c r="I8">
        <v>99362</v>
      </c>
      <c r="J8">
        <v>0.9</v>
      </c>
      <c r="K8">
        <v>145</v>
      </c>
      <c r="L8">
        <v>144</v>
      </c>
      <c r="M8">
        <v>124</v>
      </c>
      <c r="N8">
        <v>123</v>
      </c>
      <c r="O8">
        <v>248</v>
      </c>
      <c r="P8">
        <v>123</v>
      </c>
      <c r="Q8">
        <v>2</v>
      </c>
      <c r="R8">
        <v>8.2988000000000003E-3</v>
      </c>
      <c r="S8">
        <v>1.00813</v>
      </c>
      <c r="T8">
        <v>0.34159780000000001</v>
      </c>
      <c r="U8">
        <v>0.38300380000000001</v>
      </c>
      <c r="V8">
        <v>0.60006899999999996</v>
      </c>
      <c r="W8">
        <v>0.39993099999999998</v>
      </c>
      <c r="X8">
        <v>8.2629999999999995E-3</v>
      </c>
      <c r="Y8" s="2">
        <f t="shared" si="0"/>
        <v>8.2629999999999999</v>
      </c>
      <c r="Z8">
        <v>50776762</v>
      </c>
      <c r="AA8">
        <v>31338945</v>
      </c>
      <c r="AB8">
        <v>12058</v>
      </c>
      <c r="AC8">
        <v>1.62</v>
      </c>
      <c r="AD8">
        <v>0.23</v>
      </c>
      <c r="AE8">
        <v>0.27</v>
      </c>
      <c r="AF8">
        <v>0</v>
      </c>
      <c r="AG8">
        <v>1467.34</v>
      </c>
      <c r="AH8">
        <v>46025.13</v>
      </c>
      <c r="AI8">
        <v>0</v>
      </c>
      <c r="AJ8">
        <v>47492</v>
      </c>
      <c r="AK8">
        <v>24</v>
      </c>
      <c r="AL8">
        <v>2</v>
      </c>
      <c r="AM8">
        <v>0</v>
      </c>
      <c r="AN8">
        <v>0</v>
      </c>
      <c r="AO8">
        <v>3</v>
      </c>
      <c r="AP8">
        <v>120</v>
      </c>
      <c r="AQ8">
        <v>0</v>
      </c>
      <c r="AR8">
        <v>0</v>
      </c>
      <c r="AS8">
        <v>1</v>
      </c>
      <c r="AT8">
        <v>0</v>
      </c>
      <c r="AU8">
        <v>0</v>
      </c>
      <c r="AV8">
        <v>0</v>
      </c>
      <c r="AW8">
        <v>1467</v>
      </c>
      <c r="AX8">
        <v>45640</v>
      </c>
      <c r="AY8">
        <v>0</v>
      </c>
      <c r="AZ8">
        <v>0</v>
      </c>
      <c r="BA8">
        <v>385</v>
      </c>
      <c r="BB8">
        <v>0</v>
      </c>
      <c r="BC8">
        <v>0</v>
      </c>
      <c r="BD8">
        <v>0</v>
      </c>
      <c r="BE8">
        <v>39505</v>
      </c>
      <c r="BF8">
        <v>41</v>
      </c>
      <c r="BG8">
        <v>15730</v>
      </c>
      <c r="BH8">
        <v>778</v>
      </c>
      <c r="BI8">
        <v>20.218509999999998</v>
      </c>
      <c r="BJ8">
        <v>26.60314</v>
      </c>
      <c r="BK8">
        <v>26.60314</v>
      </c>
      <c r="BL8">
        <v>26.60314</v>
      </c>
      <c r="BM8">
        <v>514229.5</v>
      </c>
      <c r="BN8">
        <v>4983928</v>
      </c>
      <c r="BO8">
        <v>143.5146</v>
      </c>
      <c r="BP8">
        <v>23.826889999999999</v>
      </c>
      <c r="BQ8">
        <v>0.44123879999999999</v>
      </c>
      <c r="BR8">
        <v>6.023218</v>
      </c>
      <c r="BS8">
        <v>35283.1</v>
      </c>
      <c r="BT8">
        <v>17906.23</v>
      </c>
      <c r="BU8">
        <v>3659.5</v>
      </c>
      <c r="BV8" s="1">
        <v>614700000</v>
      </c>
      <c r="BW8" s="1">
        <v>2491000000</v>
      </c>
      <c r="BX8" s="1">
        <v>189300000</v>
      </c>
      <c r="BY8" s="1">
        <v>706400000</v>
      </c>
      <c r="BZ8" s="1">
        <v>141200000</v>
      </c>
      <c r="CA8" s="1">
        <v>644000000</v>
      </c>
      <c r="CB8">
        <v>233897</v>
      </c>
      <c r="CC8">
        <v>947923</v>
      </c>
      <c r="CD8">
        <v>142659</v>
      </c>
      <c r="CE8">
        <v>532246</v>
      </c>
      <c r="CF8">
        <v>124659</v>
      </c>
      <c r="CG8">
        <v>568487</v>
      </c>
      <c r="CH8">
        <v>3</v>
      </c>
      <c r="CI8">
        <v>402</v>
      </c>
      <c r="CJ8">
        <v>478480</v>
      </c>
      <c r="CK8">
        <v>4980091</v>
      </c>
      <c r="CL8">
        <v>816</v>
      </c>
      <c r="CM8">
        <v>492625</v>
      </c>
      <c r="CN8">
        <v>4977029</v>
      </c>
      <c r="CO8">
        <v>35954.86</v>
      </c>
      <c r="CP8">
        <v>22679.33</v>
      </c>
      <c r="CQ8">
        <v>35.954859999999996</v>
      </c>
      <c r="CR8">
        <v>22.67933</v>
      </c>
      <c r="CS8">
        <f t="shared" si="1"/>
        <v>511</v>
      </c>
    </row>
    <row r="9" spans="1:97">
      <c r="A9" t="s">
        <v>254</v>
      </c>
      <c r="B9" t="s">
        <v>255</v>
      </c>
      <c r="C9" t="s">
        <v>254</v>
      </c>
      <c r="D9">
        <v>3789</v>
      </c>
      <c r="E9">
        <v>348</v>
      </c>
      <c r="F9">
        <v>165</v>
      </c>
      <c r="G9">
        <v>1436</v>
      </c>
      <c r="H9">
        <v>131.8963</v>
      </c>
      <c r="I9">
        <v>50272</v>
      </c>
      <c r="J9">
        <v>0.86</v>
      </c>
      <c r="K9">
        <v>400</v>
      </c>
      <c r="L9">
        <v>285</v>
      </c>
      <c r="M9">
        <v>364</v>
      </c>
      <c r="N9">
        <v>249</v>
      </c>
      <c r="O9">
        <v>728</v>
      </c>
      <c r="P9">
        <v>249</v>
      </c>
      <c r="Q9">
        <v>116</v>
      </c>
      <c r="R9">
        <v>0.23529410000000001</v>
      </c>
      <c r="S9">
        <v>1.4618469999999999</v>
      </c>
      <c r="T9">
        <v>0.4912281</v>
      </c>
      <c r="U9">
        <v>0.16291610000000001</v>
      </c>
      <c r="V9">
        <v>0.25668750000000001</v>
      </c>
      <c r="W9">
        <v>0.74331250000000004</v>
      </c>
      <c r="X9">
        <v>5.8950000000000001E-3</v>
      </c>
      <c r="Y9" s="2">
        <f t="shared" si="0"/>
        <v>5.8950000000000005</v>
      </c>
      <c r="Z9">
        <v>21523734</v>
      </c>
      <c r="AA9">
        <v>16510155</v>
      </c>
      <c r="AB9">
        <v>12400</v>
      </c>
      <c r="AC9">
        <v>1.3</v>
      </c>
      <c r="AD9">
        <v>0.28999999999999998</v>
      </c>
      <c r="AE9">
        <v>0.39</v>
      </c>
      <c r="AF9">
        <v>0</v>
      </c>
      <c r="AG9">
        <v>3172.77</v>
      </c>
      <c r="AH9">
        <v>56128.68</v>
      </c>
      <c r="AI9">
        <v>0</v>
      </c>
      <c r="AJ9">
        <v>59301</v>
      </c>
      <c r="AK9">
        <v>11</v>
      </c>
      <c r="AL9">
        <v>5</v>
      </c>
      <c r="AM9">
        <v>0</v>
      </c>
      <c r="AN9">
        <v>10</v>
      </c>
      <c r="AO9">
        <v>0</v>
      </c>
      <c r="AP9">
        <v>349</v>
      </c>
      <c r="AQ9">
        <v>0</v>
      </c>
      <c r="AR9">
        <v>0</v>
      </c>
      <c r="AS9">
        <v>5</v>
      </c>
      <c r="AT9">
        <v>0</v>
      </c>
      <c r="AU9">
        <v>0</v>
      </c>
      <c r="AV9">
        <v>3173</v>
      </c>
      <c r="AW9">
        <v>0</v>
      </c>
      <c r="AX9">
        <v>55439</v>
      </c>
      <c r="AY9">
        <v>0</v>
      </c>
      <c r="AZ9">
        <v>0</v>
      </c>
      <c r="BA9">
        <v>690</v>
      </c>
      <c r="BB9">
        <v>0</v>
      </c>
      <c r="BC9">
        <v>60451</v>
      </c>
      <c r="BD9">
        <v>29</v>
      </c>
      <c r="BE9">
        <v>62807</v>
      </c>
      <c r="BF9">
        <v>27</v>
      </c>
      <c r="BG9">
        <v>44415</v>
      </c>
      <c r="BH9">
        <v>1815</v>
      </c>
      <c r="BI9">
        <v>24.471080000000001</v>
      </c>
      <c r="BJ9">
        <v>26.966650000000001</v>
      </c>
      <c r="BK9">
        <v>26.966650000000001</v>
      </c>
      <c r="BL9">
        <v>26.966650000000001</v>
      </c>
      <c r="BM9">
        <v>439279.3</v>
      </c>
      <c r="BN9">
        <v>4941333</v>
      </c>
      <c r="BO9">
        <v>152.57339999999999</v>
      </c>
      <c r="BP9">
        <v>10.649760000000001</v>
      </c>
      <c r="BQ9">
        <v>6.7832900000000002E-2</v>
      </c>
      <c r="BR9">
        <v>14.32647</v>
      </c>
      <c r="BS9">
        <v>302908.5</v>
      </c>
      <c r="BT9">
        <v>145098.70000000001</v>
      </c>
      <c r="BU9">
        <v>114799.8</v>
      </c>
      <c r="BV9" s="1">
        <v>165900000</v>
      </c>
      <c r="BW9" s="1">
        <v>833200000</v>
      </c>
      <c r="BX9">
        <v>43013935</v>
      </c>
      <c r="BY9" s="1">
        <v>265100000</v>
      </c>
      <c r="BZ9">
        <v>16750440</v>
      </c>
      <c r="CA9" s="1">
        <v>123000000</v>
      </c>
      <c r="CB9">
        <v>43795</v>
      </c>
      <c r="CC9">
        <v>219911</v>
      </c>
      <c r="CD9">
        <v>22671</v>
      </c>
      <c r="CE9">
        <v>139700</v>
      </c>
      <c r="CF9">
        <v>11730</v>
      </c>
      <c r="CG9">
        <v>85826</v>
      </c>
      <c r="CH9">
        <v>3</v>
      </c>
      <c r="CI9">
        <v>402</v>
      </c>
      <c r="CJ9">
        <v>478480</v>
      </c>
      <c r="CK9">
        <v>4980091</v>
      </c>
      <c r="CL9">
        <v>816</v>
      </c>
      <c r="CM9">
        <v>492625</v>
      </c>
      <c r="CN9">
        <v>4977029</v>
      </c>
      <c r="CO9">
        <v>55126.36</v>
      </c>
      <c r="CP9">
        <v>64187.25</v>
      </c>
      <c r="CQ9">
        <v>55.126350000000002</v>
      </c>
      <c r="CR9">
        <v>64.187250000000006</v>
      </c>
      <c r="CS9">
        <f t="shared" si="1"/>
        <v>410.85542168674698</v>
      </c>
    </row>
    <row r="10" spans="1:97">
      <c r="A10" t="s">
        <v>256</v>
      </c>
      <c r="B10" t="s">
        <v>255</v>
      </c>
      <c r="C10" t="s">
        <v>256</v>
      </c>
      <c r="D10">
        <v>806</v>
      </c>
      <c r="E10">
        <v>8</v>
      </c>
      <c r="F10">
        <v>3.3333330000000001</v>
      </c>
      <c r="G10">
        <v>0</v>
      </c>
      <c r="H10">
        <v>0</v>
      </c>
      <c r="I10">
        <v>51000</v>
      </c>
      <c r="J10">
        <v>0.82</v>
      </c>
      <c r="K10">
        <v>186</v>
      </c>
      <c r="L10">
        <v>165</v>
      </c>
      <c r="M10">
        <v>126</v>
      </c>
      <c r="N10">
        <v>105</v>
      </c>
      <c r="O10">
        <v>252</v>
      </c>
      <c r="P10">
        <v>105</v>
      </c>
      <c r="Q10">
        <v>22</v>
      </c>
      <c r="R10">
        <v>0.1073171</v>
      </c>
      <c r="S10">
        <v>1.2</v>
      </c>
      <c r="T10">
        <v>0.40776699999999999</v>
      </c>
      <c r="U10">
        <v>1.115361</v>
      </c>
      <c r="V10">
        <v>0.1950395</v>
      </c>
      <c r="W10">
        <v>0.80496049999999997</v>
      </c>
      <c r="X10">
        <v>1.1538E-2</v>
      </c>
      <c r="Y10" s="2">
        <f t="shared" si="0"/>
        <v>11.538</v>
      </c>
      <c r="Z10">
        <v>100942315</v>
      </c>
      <c r="AA10">
        <v>65854787</v>
      </c>
      <c r="AB10">
        <v>12104</v>
      </c>
      <c r="AC10">
        <v>1.53</v>
      </c>
      <c r="AD10">
        <v>0.54</v>
      </c>
      <c r="AE10">
        <v>0.56000000000000005</v>
      </c>
      <c r="AF10">
        <v>0</v>
      </c>
      <c r="AG10">
        <v>15027.34</v>
      </c>
      <c r="AH10">
        <v>125508.2</v>
      </c>
      <c r="AI10">
        <v>0</v>
      </c>
      <c r="AJ10">
        <v>140536</v>
      </c>
      <c r="AK10">
        <v>102</v>
      </c>
      <c r="AL10">
        <v>1</v>
      </c>
      <c r="AM10">
        <v>0</v>
      </c>
      <c r="AN10">
        <v>3</v>
      </c>
      <c r="AO10">
        <v>7</v>
      </c>
      <c r="AP10">
        <v>115</v>
      </c>
      <c r="AQ10">
        <v>0</v>
      </c>
      <c r="AR10">
        <v>0</v>
      </c>
      <c r="AS10">
        <v>1</v>
      </c>
      <c r="AT10">
        <v>0</v>
      </c>
      <c r="AU10">
        <v>0</v>
      </c>
      <c r="AV10">
        <v>2068</v>
      </c>
      <c r="AW10">
        <v>12960</v>
      </c>
      <c r="AX10">
        <v>125371</v>
      </c>
      <c r="AY10">
        <v>0</v>
      </c>
      <c r="AZ10">
        <v>0</v>
      </c>
      <c r="BA10">
        <v>138</v>
      </c>
      <c r="BB10">
        <v>0</v>
      </c>
      <c r="BC10">
        <v>0</v>
      </c>
      <c r="BD10">
        <v>0</v>
      </c>
      <c r="BE10">
        <v>20093</v>
      </c>
      <c r="BF10">
        <v>40</v>
      </c>
      <c r="BG10">
        <v>8215</v>
      </c>
      <c r="BH10">
        <v>340</v>
      </c>
      <c r="BI10">
        <v>24.161760000000001</v>
      </c>
      <c r="BJ10">
        <v>28.724019999999999</v>
      </c>
      <c r="BK10">
        <v>28.724019999999999</v>
      </c>
      <c r="BL10">
        <v>28.724019999999999</v>
      </c>
      <c r="BM10">
        <v>443448</v>
      </c>
      <c r="BN10">
        <v>4937027</v>
      </c>
      <c r="BO10">
        <v>379.26760000000002</v>
      </c>
      <c r="BP10">
        <v>101.7252</v>
      </c>
      <c r="BQ10">
        <v>1.1178600000000001</v>
      </c>
      <c r="BR10">
        <v>3.7283539999999999</v>
      </c>
      <c r="BS10">
        <v>5659.7449999999999</v>
      </c>
      <c r="BT10">
        <v>2387.4850000000001</v>
      </c>
      <c r="BU10">
        <v>0</v>
      </c>
      <c r="BV10">
        <v>36895456</v>
      </c>
      <c r="BW10" s="1">
        <v>165100000</v>
      </c>
      <c r="BX10">
        <v>9829585</v>
      </c>
      <c r="BY10">
        <v>52234179</v>
      </c>
      <c r="BZ10">
        <v>905905</v>
      </c>
      <c r="CA10">
        <v>6037262</v>
      </c>
      <c r="CB10">
        <v>45776</v>
      </c>
      <c r="CC10">
        <v>204790</v>
      </c>
      <c r="CD10">
        <v>23780</v>
      </c>
      <c r="CE10">
        <v>126365</v>
      </c>
      <c r="CF10">
        <v>11765</v>
      </c>
      <c r="CG10">
        <v>78406</v>
      </c>
      <c r="CH10">
        <v>3</v>
      </c>
      <c r="CI10">
        <v>402</v>
      </c>
      <c r="CJ10">
        <v>478480</v>
      </c>
      <c r="CK10">
        <v>4980091</v>
      </c>
      <c r="CL10">
        <v>816</v>
      </c>
      <c r="CM10">
        <v>492625</v>
      </c>
      <c r="CN10">
        <v>4977029</v>
      </c>
      <c r="CO10">
        <v>55513.52</v>
      </c>
      <c r="CP10">
        <v>63391.96</v>
      </c>
      <c r="CQ10">
        <v>55.51352</v>
      </c>
      <c r="CR10">
        <v>63.391959999999997</v>
      </c>
      <c r="CS10">
        <f t="shared" si="1"/>
        <v>307.04761904761904</v>
      </c>
    </row>
    <row r="11" spans="1:97">
      <c r="A11" t="s">
        <v>257</v>
      </c>
      <c r="B11" t="s">
        <v>258</v>
      </c>
      <c r="C11" t="s">
        <v>257</v>
      </c>
      <c r="D11">
        <v>939</v>
      </c>
      <c r="E11">
        <v>10</v>
      </c>
      <c r="F11">
        <v>5.0111109999999996</v>
      </c>
      <c r="G11">
        <v>271</v>
      </c>
      <c r="H11">
        <v>2.996858</v>
      </c>
      <c r="I11">
        <v>62574</v>
      </c>
      <c r="J11">
        <v>0.77</v>
      </c>
      <c r="K11">
        <v>312</v>
      </c>
      <c r="L11">
        <v>296</v>
      </c>
      <c r="M11">
        <v>234</v>
      </c>
      <c r="N11">
        <v>218</v>
      </c>
      <c r="O11">
        <v>468</v>
      </c>
      <c r="P11">
        <v>218</v>
      </c>
      <c r="Q11">
        <v>17</v>
      </c>
      <c r="R11">
        <v>3.9443199999999998E-2</v>
      </c>
      <c r="S11">
        <v>1.0733950000000001</v>
      </c>
      <c r="T11">
        <v>0.36111110000000002</v>
      </c>
      <c r="U11">
        <v>0.61259039999999998</v>
      </c>
      <c r="V11">
        <v>0.35797020000000002</v>
      </c>
      <c r="W11">
        <v>0.64202979999999998</v>
      </c>
      <c r="X11">
        <v>4.947E-3</v>
      </c>
      <c r="Y11" s="2">
        <f t="shared" si="0"/>
        <v>4.9470000000000001</v>
      </c>
      <c r="Z11">
        <v>84995844</v>
      </c>
      <c r="AA11">
        <v>60095975</v>
      </c>
      <c r="AB11">
        <v>11424</v>
      </c>
      <c r="AC11">
        <v>1.41</v>
      </c>
      <c r="AD11">
        <v>1.2</v>
      </c>
      <c r="AE11">
        <v>0.97</v>
      </c>
      <c r="AF11">
        <v>0</v>
      </c>
      <c r="AG11">
        <v>9058.59</v>
      </c>
      <c r="AH11">
        <v>134287.5</v>
      </c>
      <c r="AI11">
        <v>0</v>
      </c>
      <c r="AJ11">
        <v>143346</v>
      </c>
      <c r="AK11">
        <v>90</v>
      </c>
      <c r="AL11">
        <v>2</v>
      </c>
      <c r="AM11">
        <v>0</v>
      </c>
      <c r="AN11">
        <v>14</v>
      </c>
      <c r="AO11">
        <v>0</v>
      </c>
      <c r="AP11">
        <v>143</v>
      </c>
      <c r="AQ11">
        <v>0</v>
      </c>
      <c r="AR11">
        <v>0</v>
      </c>
      <c r="AS11">
        <v>77</v>
      </c>
      <c r="AT11">
        <v>0</v>
      </c>
      <c r="AU11">
        <v>0</v>
      </c>
      <c r="AV11">
        <v>9059</v>
      </c>
      <c r="AW11">
        <v>0</v>
      </c>
      <c r="AX11">
        <v>110692</v>
      </c>
      <c r="AY11">
        <v>0</v>
      </c>
      <c r="AZ11">
        <v>0</v>
      </c>
      <c r="BA11">
        <v>23596</v>
      </c>
      <c r="BB11">
        <v>0</v>
      </c>
      <c r="BC11">
        <v>0</v>
      </c>
      <c r="BD11">
        <v>0</v>
      </c>
      <c r="BE11">
        <v>81493</v>
      </c>
      <c r="BF11">
        <v>140</v>
      </c>
      <c r="BG11">
        <v>10870</v>
      </c>
      <c r="BH11">
        <v>451</v>
      </c>
      <c r="BI11">
        <v>24.102</v>
      </c>
      <c r="BJ11">
        <v>29.365960000000001</v>
      </c>
      <c r="BK11">
        <v>29.365960000000001</v>
      </c>
      <c r="BL11">
        <v>29.365960000000001</v>
      </c>
      <c r="BM11">
        <v>434363.8</v>
      </c>
      <c r="BN11">
        <v>4956657</v>
      </c>
      <c r="BO11">
        <v>397.60550000000001</v>
      </c>
      <c r="BP11">
        <v>90.428039999999996</v>
      </c>
      <c r="BQ11">
        <v>0.71768279999999995</v>
      </c>
      <c r="BR11">
        <v>4.3969269999999998</v>
      </c>
      <c r="BS11">
        <v>9106.1309999999994</v>
      </c>
      <c r="BT11">
        <v>4373.6580000000004</v>
      </c>
      <c r="BU11">
        <v>2628.0740000000001</v>
      </c>
      <c r="BV11" s="1">
        <v>177200000</v>
      </c>
      <c r="BW11" s="1">
        <v>549500000</v>
      </c>
      <c r="BX11">
        <v>56611959</v>
      </c>
      <c r="BY11" s="1">
        <v>195300000</v>
      </c>
      <c r="BZ11">
        <v>18999360</v>
      </c>
      <c r="CA11" s="1">
        <v>57400000</v>
      </c>
      <c r="CB11">
        <v>90844</v>
      </c>
      <c r="CC11">
        <v>281655</v>
      </c>
      <c r="CD11">
        <v>52544</v>
      </c>
      <c r="CE11">
        <v>181284</v>
      </c>
      <c r="CF11">
        <v>32985</v>
      </c>
      <c r="CG11">
        <v>99609</v>
      </c>
      <c r="CH11">
        <v>3</v>
      </c>
      <c r="CI11">
        <v>402</v>
      </c>
      <c r="CJ11">
        <v>478480</v>
      </c>
      <c r="CK11">
        <v>4980091</v>
      </c>
      <c r="CL11">
        <v>816</v>
      </c>
      <c r="CM11">
        <v>492625</v>
      </c>
      <c r="CN11">
        <v>4977029</v>
      </c>
      <c r="CO11">
        <v>49954.09</v>
      </c>
      <c r="CP11">
        <v>61720.35</v>
      </c>
      <c r="CQ11">
        <v>49.954090000000001</v>
      </c>
      <c r="CR11">
        <v>61.720350000000003</v>
      </c>
      <c r="CS11">
        <f t="shared" si="1"/>
        <v>603.02752293577987</v>
      </c>
    </row>
    <row r="12" spans="1:97">
      <c r="A12" t="s">
        <v>259</v>
      </c>
      <c r="B12" t="s">
        <v>160</v>
      </c>
      <c r="C12" t="s">
        <v>259</v>
      </c>
      <c r="D12">
        <v>443</v>
      </c>
      <c r="E12">
        <v>177</v>
      </c>
      <c r="F12">
        <v>59.333329999999997</v>
      </c>
      <c r="G12">
        <v>247</v>
      </c>
      <c r="H12">
        <v>98.576319999999996</v>
      </c>
      <c r="I12">
        <v>45125</v>
      </c>
      <c r="J12">
        <v>0.86</v>
      </c>
      <c r="K12">
        <v>42</v>
      </c>
      <c r="L12">
        <v>37</v>
      </c>
      <c r="M12">
        <v>36</v>
      </c>
      <c r="N12">
        <v>31</v>
      </c>
      <c r="O12">
        <v>72</v>
      </c>
      <c r="P12">
        <v>31</v>
      </c>
      <c r="Q12">
        <v>6</v>
      </c>
      <c r="R12">
        <v>0.1052632</v>
      </c>
      <c r="S12">
        <v>1.1612899999999999</v>
      </c>
      <c r="T12">
        <v>0.41379310000000002</v>
      </c>
      <c r="U12">
        <v>0.222189</v>
      </c>
      <c r="V12">
        <v>0.62610010000000005</v>
      </c>
      <c r="W12">
        <v>0.37389990000000001</v>
      </c>
      <c r="X12">
        <v>3.8710000000000001E-2</v>
      </c>
      <c r="Y12" s="2">
        <f t="shared" si="0"/>
        <v>38.71</v>
      </c>
      <c r="Z12">
        <v>11207232</v>
      </c>
      <c r="AA12">
        <v>8070905</v>
      </c>
      <c r="AB12">
        <v>12500</v>
      </c>
      <c r="AC12">
        <v>1.39</v>
      </c>
      <c r="AD12">
        <v>0</v>
      </c>
      <c r="AE12">
        <v>0</v>
      </c>
      <c r="AF12">
        <v>0</v>
      </c>
      <c r="AG12">
        <v>0</v>
      </c>
      <c r="AH12">
        <v>7998.81</v>
      </c>
      <c r="AI12">
        <v>0</v>
      </c>
      <c r="AJ12">
        <v>7999</v>
      </c>
      <c r="AK12">
        <v>3</v>
      </c>
      <c r="AL12">
        <v>3</v>
      </c>
      <c r="AM12">
        <v>0</v>
      </c>
      <c r="AN12">
        <v>0</v>
      </c>
      <c r="AO12">
        <v>0</v>
      </c>
      <c r="AP12">
        <v>36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7999</v>
      </c>
      <c r="AY12">
        <v>0</v>
      </c>
      <c r="AZ12">
        <v>0</v>
      </c>
      <c r="BA12">
        <v>0</v>
      </c>
      <c r="BB12">
        <v>0</v>
      </c>
      <c r="BC12">
        <v>3941</v>
      </c>
      <c r="BD12">
        <v>4</v>
      </c>
      <c r="BE12">
        <v>3942</v>
      </c>
      <c r="BF12">
        <v>14</v>
      </c>
      <c r="BG12">
        <v>5815</v>
      </c>
      <c r="BH12">
        <v>178</v>
      </c>
      <c r="BI12">
        <v>32.66854</v>
      </c>
      <c r="BJ12">
        <v>27.433979999999998</v>
      </c>
      <c r="BK12">
        <v>27.433979999999998</v>
      </c>
      <c r="BL12">
        <v>27.433979999999998</v>
      </c>
      <c r="BM12">
        <v>478814.4</v>
      </c>
      <c r="BN12">
        <v>5027733</v>
      </c>
      <c r="BO12">
        <v>22.523319999999998</v>
      </c>
      <c r="BP12">
        <v>2.5056729999999998</v>
      </c>
      <c r="BQ12">
        <v>0.15660450000000001</v>
      </c>
      <c r="BR12">
        <v>8.9889320000000001</v>
      </c>
      <c r="BS12">
        <v>140375.79999999999</v>
      </c>
      <c r="BT12">
        <v>56403.82</v>
      </c>
      <c r="BU12">
        <v>78268.23</v>
      </c>
      <c r="CH12">
        <v>1</v>
      </c>
      <c r="CI12">
        <v>402</v>
      </c>
      <c r="CJ12">
        <v>478480</v>
      </c>
      <c r="CK12">
        <v>4980091</v>
      </c>
      <c r="CL12">
        <v>816</v>
      </c>
      <c r="CM12">
        <v>492625</v>
      </c>
      <c r="CN12">
        <v>4977029</v>
      </c>
      <c r="CO12">
        <v>47643.17</v>
      </c>
      <c r="CP12">
        <v>52551.199999999997</v>
      </c>
      <c r="CQ12">
        <v>47.643169999999998</v>
      </c>
      <c r="CR12">
        <v>52.551200000000001</v>
      </c>
      <c r="CS12">
        <f t="shared" si="1"/>
        <v>200.06451612903226</v>
      </c>
    </row>
    <row r="13" spans="1:97">
      <c r="A13" t="s">
        <v>260</v>
      </c>
      <c r="B13" t="s">
        <v>158</v>
      </c>
      <c r="C13" t="s">
        <v>260</v>
      </c>
      <c r="D13">
        <v>968</v>
      </c>
      <c r="E13">
        <v>1104</v>
      </c>
      <c r="F13">
        <v>486</v>
      </c>
      <c r="G13">
        <v>24</v>
      </c>
      <c r="H13">
        <v>27.37228</v>
      </c>
      <c r="I13">
        <v>81941</v>
      </c>
      <c r="J13">
        <v>0.86</v>
      </c>
      <c r="K13">
        <v>67</v>
      </c>
      <c r="L13">
        <v>55</v>
      </c>
      <c r="M13">
        <v>62</v>
      </c>
      <c r="N13">
        <v>50</v>
      </c>
      <c r="O13">
        <v>124</v>
      </c>
      <c r="P13">
        <v>50</v>
      </c>
      <c r="Q13">
        <v>13</v>
      </c>
      <c r="R13">
        <v>0.13684209999999999</v>
      </c>
      <c r="S13">
        <v>1.24</v>
      </c>
      <c r="T13">
        <v>0.43055559999999998</v>
      </c>
      <c r="U13">
        <v>0.1395922</v>
      </c>
      <c r="V13">
        <v>0.248531</v>
      </c>
      <c r="W13">
        <v>0.75146900000000005</v>
      </c>
      <c r="X13">
        <v>2.5305999999999999E-2</v>
      </c>
      <c r="Y13" s="2">
        <f t="shared" si="0"/>
        <v>25.305999999999997</v>
      </c>
      <c r="Z13">
        <v>9858686</v>
      </c>
      <c r="AA13">
        <v>7723329</v>
      </c>
      <c r="AB13">
        <v>12500</v>
      </c>
      <c r="AC13">
        <v>1.28</v>
      </c>
      <c r="AD13">
        <v>0</v>
      </c>
      <c r="AE13">
        <v>0</v>
      </c>
      <c r="AF13">
        <v>0</v>
      </c>
      <c r="AG13">
        <v>0</v>
      </c>
      <c r="AH13">
        <v>8654.7199999999993</v>
      </c>
      <c r="AI13">
        <v>0</v>
      </c>
      <c r="AJ13">
        <v>8655</v>
      </c>
      <c r="AK13">
        <v>1</v>
      </c>
      <c r="AL13">
        <v>10</v>
      </c>
      <c r="AM13">
        <v>0</v>
      </c>
      <c r="AN13">
        <v>0</v>
      </c>
      <c r="AO13">
        <v>0</v>
      </c>
      <c r="AP13">
        <v>62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8655</v>
      </c>
      <c r="AY13">
        <v>0</v>
      </c>
      <c r="AZ13">
        <v>0</v>
      </c>
      <c r="BA13">
        <v>0</v>
      </c>
      <c r="BB13">
        <v>0</v>
      </c>
      <c r="BC13">
        <v>3799</v>
      </c>
      <c r="BD13">
        <v>4</v>
      </c>
      <c r="BE13">
        <v>3763</v>
      </c>
      <c r="BF13">
        <v>6</v>
      </c>
      <c r="BG13">
        <v>12480</v>
      </c>
      <c r="BH13">
        <v>486</v>
      </c>
      <c r="BI13">
        <v>25.679010000000002</v>
      </c>
      <c r="BJ13">
        <v>26.210560000000001</v>
      </c>
      <c r="BK13">
        <v>26.210560000000001</v>
      </c>
      <c r="BL13">
        <v>26.210560000000001</v>
      </c>
      <c r="BM13">
        <v>501738.7</v>
      </c>
      <c r="BN13">
        <v>4989596</v>
      </c>
      <c r="BO13">
        <v>18.853770000000001</v>
      </c>
      <c r="BP13">
        <v>0.87679929999999995</v>
      </c>
      <c r="BQ13">
        <v>6.2628500000000004E-2</v>
      </c>
      <c r="BR13">
        <v>21.502949999999998</v>
      </c>
      <c r="BS13">
        <v>946861.3</v>
      </c>
      <c r="BT13">
        <v>475386.9</v>
      </c>
      <c r="BU13">
        <v>23475.9</v>
      </c>
      <c r="CH13">
        <v>1</v>
      </c>
      <c r="CI13">
        <v>402</v>
      </c>
      <c r="CJ13">
        <v>478480</v>
      </c>
      <c r="CK13">
        <v>4980091</v>
      </c>
      <c r="CL13">
        <v>816</v>
      </c>
      <c r="CM13">
        <v>492625</v>
      </c>
      <c r="CN13">
        <v>4977029</v>
      </c>
      <c r="CO13">
        <v>25125.7</v>
      </c>
      <c r="CP13">
        <v>15523.39</v>
      </c>
      <c r="CQ13">
        <v>25.125699999999998</v>
      </c>
      <c r="CR13">
        <v>15.523389999999999</v>
      </c>
      <c r="CS13">
        <f t="shared" si="1"/>
        <v>116.16</v>
      </c>
    </row>
    <row r="14" spans="1:97">
      <c r="A14" t="s">
        <v>179</v>
      </c>
      <c r="B14" t="s">
        <v>160</v>
      </c>
      <c r="C14" t="s">
        <v>179</v>
      </c>
      <c r="D14">
        <v>44942</v>
      </c>
      <c r="E14">
        <v>510</v>
      </c>
      <c r="F14">
        <v>283.28410000000002</v>
      </c>
      <c r="G14">
        <v>17419</v>
      </c>
      <c r="H14">
        <v>197.7543</v>
      </c>
      <c r="I14">
        <v>59219</v>
      </c>
      <c r="J14">
        <v>0.87</v>
      </c>
      <c r="K14">
        <v>2702</v>
      </c>
      <c r="L14">
        <v>2116</v>
      </c>
      <c r="M14">
        <v>2205</v>
      </c>
      <c r="N14">
        <v>1619</v>
      </c>
      <c r="O14">
        <v>4410</v>
      </c>
      <c r="P14">
        <v>1619</v>
      </c>
      <c r="Q14">
        <v>587</v>
      </c>
      <c r="R14">
        <v>0.18156510000000001</v>
      </c>
      <c r="S14">
        <v>1.3619520000000001</v>
      </c>
      <c r="T14">
        <v>0.45454549999999999</v>
      </c>
      <c r="U14">
        <v>0.2013153</v>
      </c>
      <c r="V14">
        <v>0.1914283</v>
      </c>
      <c r="W14">
        <v>0.8085717</v>
      </c>
      <c r="X14">
        <v>8.4199999999999998E-4</v>
      </c>
      <c r="Y14" s="2">
        <f t="shared" si="0"/>
        <v>0.84199999999999997</v>
      </c>
      <c r="Z14">
        <v>94647347</v>
      </c>
      <c r="AA14">
        <v>68041603</v>
      </c>
      <c r="AB14">
        <v>12500</v>
      </c>
      <c r="AC14">
        <v>1.39</v>
      </c>
      <c r="AD14">
        <v>0.28999999999999998</v>
      </c>
      <c r="AE14">
        <v>0.45</v>
      </c>
      <c r="AF14">
        <v>2.68</v>
      </c>
      <c r="AG14">
        <v>23470.11</v>
      </c>
      <c r="AH14">
        <v>420430.1</v>
      </c>
      <c r="AI14">
        <v>11903</v>
      </c>
      <c r="AJ14">
        <v>443900</v>
      </c>
      <c r="AK14">
        <v>88</v>
      </c>
      <c r="AL14">
        <v>5</v>
      </c>
      <c r="AM14">
        <v>29</v>
      </c>
      <c r="AN14">
        <v>35</v>
      </c>
      <c r="AO14">
        <v>0</v>
      </c>
      <c r="AP14">
        <v>2122</v>
      </c>
      <c r="AQ14">
        <v>0</v>
      </c>
      <c r="AR14">
        <v>18</v>
      </c>
      <c r="AS14">
        <v>1</v>
      </c>
      <c r="AT14">
        <v>0</v>
      </c>
      <c r="AU14">
        <v>11903</v>
      </c>
      <c r="AV14">
        <v>11567</v>
      </c>
      <c r="AW14">
        <v>0</v>
      </c>
      <c r="AX14">
        <v>415183</v>
      </c>
      <c r="AY14">
        <v>0</v>
      </c>
      <c r="AZ14">
        <v>5027</v>
      </c>
      <c r="BA14">
        <v>220</v>
      </c>
      <c r="BB14">
        <v>0</v>
      </c>
      <c r="BC14">
        <v>1224011</v>
      </c>
      <c r="BD14">
        <v>226</v>
      </c>
      <c r="BE14">
        <v>1249883</v>
      </c>
      <c r="BF14">
        <v>45</v>
      </c>
      <c r="BG14">
        <v>661835</v>
      </c>
      <c r="BH14">
        <v>24929</v>
      </c>
      <c r="BI14">
        <v>26.5488</v>
      </c>
      <c r="BJ14">
        <v>26.371289999999998</v>
      </c>
      <c r="BK14">
        <v>26.371289999999998</v>
      </c>
      <c r="BL14">
        <v>26.371289999999998</v>
      </c>
      <c r="BM14">
        <v>483676.3</v>
      </c>
      <c r="BN14">
        <v>5001808</v>
      </c>
      <c r="BO14">
        <v>906.40390000000002</v>
      </c>
      <c r="BP14">
        <v>88.084069999999997</v>
      </c>
      <c r="BQ14">
        <v>0.1135104</v>
      </c>
      <c r="BR14">
        <v>10.29021</v>
      </c>
      <c r="BS14">
        <v>373024.7</v>
      </c>
      <c r="BT14">
        <v>206914.1</v>
      </c>
      <c r="BU14">
        <v>144580.1</v>
      </c>
      <c r="BV14" s="1">
        <v>27940000000</v>
      </c>
      <c r="BW14" s="1">
        <v>72990000000</v>
      </c>
      <c r="BX14" s="1">
        <v>10790000000</v>
      </c>
      <c r="BY14" s="1">
        <v>25630000000</v>
      </c>
      <c r="BZ14" s="1">
        <v>7653000000</v>
      </c>
      <c r="CA14" s="1">
        <v>21100000000</v>
      </c>
      <c r="CB14">
        <v>625268</v>
      </c>
      <c r="CC14">
        <v>1633503</v>
      </c>
      <c r="CD14">
        <v>423273</v>
      </c>
      <c r="CE14">
        <v>1005871</v>
      </c>
      <c r="CF14">
        <v>408800</v>
      </c>
      <c r="CG14">
        <v>1126480</v>
      </c>
      <c r="CH14">
        <v>3</v>
      </c>
      <c r="CI14">
        <v>402</v>
      </c>
      <c r="CJ14">
        <v>478480</v>
      </c>
      <c r="CK14">
        <v>4980091</v>
      </c>
      <c r="CL14">
        <v>816</v>
      </c>
      <c r="CM14">
        <v>492625</v>
      </c>
      <c r="CN14">
        <v>4977029</v>
      </c>
      <c r="CO14">
        <v>22330.02</v>
      </c>
      <c r="CP14">
        <v>26345.360000000001</v>
      </c>
      <c r="CQ14">
        <v>22.330020000000001</v>
      </c>
      <c r="CR14">
        <v>26.345359999999999</v>
      </c>
      <c r="CS14">
        <f t="shared" si="1"/>
        <v>1249.159975293391</v>
      </c>
    </row>
    <row r="15" spans="1:97">
      <c r="A15" t="s">
        <v>180</v>
      </c>
      <c r="B15" t="s">
        <v>255</v>
      </c>
      <c r="C15" t="s">
        <v>180</v>
      </c>
      <c r="D15">
        <v>496</v>
      </c>
      <c r="E15">
        <v>7</v>
      </c>
      <c r="F15">
        <v>2.9726029999999999</v>
      </c>
      <c r="G15">
        <v>79</v>
      </c>
      <c r="H15">
        <v>1.087413</v>
      </c>
      <c r="I15">
        <v>59583</v>
      </c>
      <c r="J15">
        <v>0.83</v>
      </c>
      <c r="K15">
        <v>118</v>
      </c>
      <c r="L15">
        <v>104</v>
      </c>
      <c r="M15">
        <v>83</v>
      </c>
      <c r="N15">
        <v>69</v>
      </c>
      <c r="O15">
        <v>166</v>
      </c>
      <c r="P15">
        <v>69</v>
      </c>
      <c r="Q15">
        <v>15</v>
      </c>
      <c r="R15">
        <v>0.11278199999999999</v>
      </c>
      <c r="S15">
        <v>1.2028989999999999</v>
      </c>
      <c r="T15">
        <v>0.41293530000000001</v>
      </c>
      <c r="U15">
        <v>1.0712649999999999</v>
      </c>
      <c r="V15">
        <v>0.19182189999999999</v>
      </c>
      <c r="W15">
        <v>0.80817810000000001</v>
      </c>
      <c r="X15">
        <v>1.7690000000000001E-2</v>
      </c>
      <c r="Y15" s="2">
        <f t="shared" si="0"/>
        <v>17.690000000000001</v>
      </c>
      <c r="Z15">
        <v>81702919</v>
      </c>
      <c r="AA15">
        <v>56260115</v>
      </c>
      <c r="AB15">
        <v>12500</v>
      </c>
      <c r="AC15">
        <v>1.45</v>
      </c>
      <c r="AD15">
        <v>0.86</v>
      </c>
      <c r="AE15">
        <v>0.96</v>
      </c>
      <c r="AF15">
        <v>0</v>
      </c>
      <c r="AG15">
        <v>18819.05</v>
      </c>
      <c r="AH15">
        <v>70095.98</v>
      </c>
      <c r="AI15">
        <v>0</v>
      </c>
      <c r="AJ15">
        <v>88915</v>
      </c>
      <c r="AK15">
        <v>73</v>
      </c>
      <c r="AL15">
        <v>1</v>
      </c>
      <c r="AM15">
        <v>0</v>
      </c>
      <c r="AN15">
        <v>9</v>
      </c>
      <c r="AO15">
        <v>6</v>
      </c>
      <c r="AP15">
        <v>68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9091</v>
      </c>
      <c r="AW15">
        <v>9728</v>
      </c>
      <c r="AX15">
        <v>70096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109570</v>
      </c>
      <c r="BF15">
        <v>356</v>
      </c>
      <c r="BG15">
        <v>5845</v>
      </c>
      <c r="BH15">
        <v>217</v>
      </c>
      <c r="BI15">
        <v>26.935479999999998</v>
      </c>
      <c r="BJ15">
        <v>28.946020000000001</v>
      </c>
      <c r="BK15">
        <v>28.946020000000001</v>
      </c>
      <c r="BL15">
        <v>28.946020000000001</v>
      </c>
      <c r="BM15">
        <v>433470.8</v>
      </c>
      <c r="BN15">
        <v>4936820</v>
      </c>
      <c r="BO15">
        <v>304.34199999999998</v>
      </c>
      <c r="BP15">
        <v>70.883219999999994</v>
      </c>
      <c r="BQ15">
        <v>1.143278</v>
      </c>
      <c r="BR15">
        <v>4.2935699999999999</v>
      </c>
      <c r="BS15">
        <v>5517.4750000000004</v>
      </c>
      <c r="BT15">
        <v>2413.895</v>
      </c>
      <c r="BU15">
        <v>878.79139999999995</v>
      </c>
      <c r="BV15">
        <v>6892912</v>
      </c>
      <c r="BW15">
        <v>57067280</v>
      </c>
      <c r="BX15">
        <v>1777132</v>
      </c>
      <c r="BY15">
        <v>15656372</v>
      </c>
      <c r="BZ15">
        <v>322000</v>
      </c>
      <c r="CA15">
        <v>2019500</v>
      </c>
      <c r="CB15">
        <v>13897</v>
      </c>
      <c r="CC15">
        <v>115055</v>
      </c>
      <c r="CD15">
        <v>7036</v>
      </c>
      <c r="CE15">
        <v>61983</v>
      </c>
      <c r="CF15">
        <v>4600</v>
      </c>
      <c r="CG15">
        <v>28850</v>
      </c>
      <c r="CH15">
        <v>3</v>
      </c>
      <c r="CI15">
        <v>402</v>
      </c>
      <c r="CJ15">
        <v>478480</v>
      </c>
      <c r="CK15">
        <v>4980091</v>
      </c>
      <c r="CL15">
        <v>816</v>
      </c>
      <c r="CM15">
        <v>492625</v>
      </c>
      <c r="CN15">
        <v>4977029</v>
      </c>
      <c r="CO15">
        <v>62435.59</v>
      </c>
      <c r="CP15">
        <v>71526.06</v>
      </c>
      <c r="CQ15">
        <v>62.435589999999998</v>
      </c>
      <c r="CR15">
        <v>71.526060000000001</v>
      </c>
      <c r="CS15">
        <f t="shared" si="1"/>
        <v>2559.072463768116</v>
      </c>
    </row>
    <row r="16" spans="1:97">
      <c r="A16" t="s">
        <v>181</v>
      </c>
      <c r="B16" t="s">
        <v>182</v>
      </c>
      <c r="C16" t="s">
        <v>181</v>
      </c>
      <c r="D16">
        <v>85172</v>
      </c>
      <c r="E16">
        <v>857</v>
      </c>
      <c r="F16">
        <v>461.91919999999999</v>
      </c>
      <c r="G16">
        <v>103685</v>
      </c>
      <c r="H16">
        <v>1043.7449999999999</v>
      </c>
      <c r="I16">
        <v>54628</v>
      </c>
      <c r="J16">
        <v>0.87</v>
      </c>
      <c r="K16">
        <v>4287</v>
      </c>
      <c r="L16">
        <v>3177</v>
      </c>
      <c r="M16">
        <v>3852</v>
      </c>
      <c r="N16">
        <v>2742</v>
      </c>
      <c r="O16">
        <v>7704</v>
      </c>
      <c r="P16">
        <v>2742</v>
      </c>
      <c r="Q16">
        <v>1111</v>
      </c>
      <c r="R16">
        <v>0.20277419999999999</v>
      </c>
      <c r="S16">
        <v>1.404814</v>
      </c>
      <c r="T16">
        <v>0.4686131</v>
      </c>
      <c r="U16">
        <v>0.18371950000000001</v>
      </c>
      <c r="V16">
        <v>0.12604290000000001</v>
      </c>
      <c r="W16">
        <v>0.87395710000000004</v>
      </c>
      <c r="X16">
        <v>5.13E-4</v>
      </c>
      <c r="Y16" s="2">
        <f t="shared" si="0"/>
        <v>0.51300000000000001</v>
      </c>
      <c r="Z16">
        <v>80224913</v>
      </c>
      <c r="AA16">
        <v>62737227</v>
      </c>
      <c r="AB16">
        <v>12450</v>
      </c>
      <c r="AC16">
        <v>1.28</v>
      </c>
      <c r="AD16">
        <v>0.28000000000000003</v>
      </c>
      <c r="AE16">
        <v>0.4</v>
      </c>
      <c r="AF16">
        <v>3.89</v>
      </c>
      <c r="AG16">
        <v>27515.65</v>
      </c>
      <c r="AH16">
        <v>680172</v>
      </c>
      <c r="AI16">
        <v>27516</v>
      </c>
      <c r="AJ16">
        <v>707688</v>
      </c>
      <c r="AK16">
        <v>99</v>
      </c>
      <c r="AL16">
        <v>7</v>
      </c>
      <c r="AM16">
        <v>76</v>
      </c>
      <c r="AN16">
        <v>0</v>
      </c>
      <c r="AO16">
        <v>0</v>
      </c>
      <c r="AP16">
        <v>3704</v>
      </c>
      <c r="AQ16">
        <v>0</v>
      </c>
      <c r="AR16">
        <v>67</v>
      </c>
      <c r="AS16">
        <v>5</v>
      </c>
      <c r="AT16">
        <v>0</v>
      </c>
      <c r="AU16">
        <v>27516</v>
      </c>
      <c r="AV16">
        <v>0</v>
      </c>
      <c r="AW16">
        <v>0</v>
      </c>
      <c r="AX16">
        <v>664838</v>
      </c>
      <c r="AY16">
        <v>0</v>
      </c>
      <c r="AZ16">
        <v>13478</v>
      </c>
      <c r="BA16">
        <v>1856</v>
      </c>
      <c r="BB16">
        <v>0</v>
      </c>
      <c r="BC16">
        <v>3793210</v>
      </c>
      <c r="BD16">
        <v>419</v>
      </c>
      <c r="BE16">
        <v>3191342</v>
      </c>
      <c r="BF16">
        <v>60</v>
      </c>
      <c r="BG16">
        <v>923660</v>
      </c>
      <c r="BH16">
        <v>45730</v>
      </c>
      <c r="BI16">
        <v>20.198119999999999</v>
      </c>
      <c r="BJ16">
        <v>26.109110000000001</v>
      </c>
      <c r="BK16">
        <v>26.109110000000001</v>
      </c>
      <c r="BL16">
        <v>26.109110000000001</v>
      </c>
      <c r="BM16">
        <v>475081.4</v>
      </c>
      <c r="BN16">
        <v>4964179</v>
      </c>
      <c r="BO16">
        <v>1528.4649999999999</v>
      </c>
      <c r="BP16">
        <v>99.339420000000004</v>
      </c>
      <c r="BQ16">
        <v>7.9281299999999999E-2</v>
      </c>
      <c r="BR16">
        <v>15.386290000000001</v>
      </c>
      <c r="BS16">
        <v>727075</v>
      </c>
      <c r="BT16">
        <v>390376.4</v>
      </c>
      <c r="BU16">
        <v>885112.2</v>
      </c>
      <c r="BV16" s="1">
        <v>93320000000</v>
      </c>
      <c r="BW16" s="1">
        <v>189700000000</v>
      </c>
      <c r="BX16" s="1">
        <v>30730000000</v>
      </c>
      <c r="BY16" s="1">
        <v>58080000000</v>
      </c>
      <c r="BZ16" s="1">
        <v>111500000000</v>
      </c>
      <c r="CA16" s="1">
        <v>176000000000</v>
      </c>
      <c r="CB16">
        <v>1067909</v>
      </c>
      <c r="CC16">
        <v>2170712</v>
      </c>
      <c r="CD16">
        <v>632356</v>
      </c>
      <c r="CE16">
        <v>1194990</v>
      </c>
      <c r="CF16">
        <v>1008158</v>
      </c>
      <c r="CG16">
        <v>1589080</v>
      </c>
      <c r="CH16">
        <v>3</v>
      </c>
      <c r="CI16">
        <v>402</v>
      </c>
      <c r="CJ16">
        <v>478480</v>
      </c>
      <c r="CK16">
        <v>4980091</v>
      </c>
      <c r="CL16">
        <v>816</v>
      </c>
      <c r="CM16">
        <v>492625</v>
      </c>
      <c r="CN16">
        <v>4977029</v>
      </c>
      <c r="CO16">
        <v>16271.4</v>
      </c>
      <c r="CP16">
        <v>21746.59</v>
      </c>
      <c r="CQ16">
        <v>16.27139</v>
      </c>
      <c r="CR16">
        <v>21.746590000000001</v>
      </c>
      <c r="CS16">
        <f t="shared" si="1"/>
        <v>1863.7199124726476</v>
      </c>
    </row>
    <row r="17" spans="1:97">
      <c r="A17" t="s">
        <v>183</v>
      </c>
      <c r="B17" t="s">
        <v>182</v>
      </c>
      <c r="C17" t="s">
        <v>183</v>
      </c>
      <c r="D17">
        <v>29172</v>
      </c>
      <c r="E17">
        <v>1345</v>
      </c>
      <c r="F17">
        <v>648.63639999999998</v>
      </c>
      <c r="G17">
        <v>16587</v>
      </c>
      <c r="H17">
        <v>764.49720000000002</v>
      </c>
      <c r="I17">
        <v>44570</v>
      </c>
      <c r="J17">
        <v>0.83</v>
      </c>
      <c r="K17">
        <v>1467</v>
      </c>
      <c r="L17">
        <v>1020</v>
      </c>
      <c r="M17">
        <v>1305</v>
      </c>
      <c r="N17">
        <v>858</v>
      </c>
      <c r="O17">
        <v>2610</v>
      </c>
      <c r="P17">
        <v>858</v>
      </c>
      <c r="Q17">
        <v>448</v>
      </c>
      <c r="R17">
        <v>0.26183519999999999</v>
      </c>
      <c r="S17">
        <v>1.5209790000000001</v>
      </c>
      <c r="T17">
        <v>0.50817760000000001</v>
      </c>
      <c r="U17">
        <v>0.1684254</v>
      </c>
      <c r="V17">
        <v>7.1102700000000005E-2</v>
      </c>
      <c r="W17">
        <v>0.92889730000000004</v>
      </c>
      <c r="X17">
        <v>1.7750000000000001E-3</v>
      </c>
      <c r="Y17" s="2">
        <f t="shared" si="0"/>
        <v>1.7750000000000001</v>
      </c>
      <c r="Z17">
        <v>39056298</v>
      </c>
      <c r="AA17">
        <v>29584788</v>
      </c>
      <c r="AB17">
        <v>12500</v>
      </c>
      <c r="AC17">
        <v>1.32</v>
      </c>
      <c r="AD17">
        <v>0.67</v>
      </c>
      <c r="AE17">
        <v>0.73</v>
      </c>
      <c r="AF17">
        <v>5.91</v>
      </c>
      <c r="AG17">
        <v>15158.13</v>
      </c>
      <c r="AH17">
        <v>204637</v>
      </c>
      <c r="AI17">
        <v>12996</v>
      </c>
      <c r="AJ17">
        <v>219795</v>
      </c>
      <c r="AK17">
        <v>22</v>
      </c>
      <c r="AL17">
        <v>10</v>
      </c>
      <c r="AM17">
        <v>53</v>
      </c>
      <c r="AN17">
        <v>0</v>
      </c>
      <c r="AO17">
        <v>10</v>
      </c>
      <c r="AP17">
        <v>1152</v>
      </c>
      <c r="AQ17">
        <v>0</v>
      </c>
      <c r="AR17">
        <v>90</v>
      </c>
      <c r="AS17">
        <v>0</v>
      </c>
      <c r="AT17">
        <v>0</v>
      </c>
      <c r="AU17">
        <v>12996</v>
      </c>
      <c r="AV17">
        <v>0</v>
      </c>
      <c r="AW17">
        <v>2163</v>
      </c>
      <c r="AX17">
        <v>190815</v>
      </c>
      <c r="AY17">
        <v>0</v>
      </c>
      <c r="AZ17">
        <v>13822</v>
      </c>
      <c r="BA17">
        <v>0</v>
      </c>
      <c r="BB17">
        <v>0</v>
      </c>
      <c r="BC17">
        <v>1291464</v>
      </c>
      <c r="BD17">
        <v>125</v>
      </c>
      <c r="BE17">
        <v>1285300</v>
      </c>
      <c r="BF17">
        <v>71</v>
      </c>
      <c r="BG17">
        <v>324475</v>
      </c>
      <c r="BH17">
        <v>14270</v>
      </c>
      <c r="BI17">
        <v>22.73826</v>
      </c>
      <c r="BJ17">
        <v>26.884789999999999</v>
      </c>
      <c r="BK17">
        <v>26.884789999999999</v>
      </c>
      <c r="BL17">
        <v>26.884789999999999</v>
      </c>
      <c r="BM17">
        <v>475117.4</v>
      </c>
      <c r="BN17">
        <v>4990562</v>
      </c>
      <c r="BO17">
        <v>462.3492</v>
      </c>
      <c r="BP17">
        <v>21.69661</v>
      </c>
      <c r="BQ17">
        <v>4.3655199999999998E-2</v>
      </c>
      <c r="BR17">
        <v>21.309740000000001</v>
      </c>
      <c r="BS17">
        <v>1134306</v>
      </c>
      <c r="BT17">
        <v>554865.6</v>
      </c>
      <c r="BU17">
        <v>644958.4</v>
      </c>
      <c r="BV17" s="1">
        <v>37720000000</v>
      </c>
      <c r="BW17" s="1">
        <v>69080000000</v>
      </c>
      <c r="BX17" s="1">
        <v>10770000000</v>
      </c>
      <c r="BY17" s="1">
        <v>19050000000</v>
      </c>
      <c r="BZ17" s="1">
        <v>15670000000</v>
      </c>
      <c r="CA17" s="1">
        <v>26600000000</v>
      </c>
      <c r="CB17">
        <v>1218815</v>
      </c>
      <c r="CC17">
        <v>2232318</v>
      </c>
      <c r="CD17">
        <v>690142</v>
      </c>
      <c r="CE17">
        <v>1220381</v>
      </c>
      <c r="CF17">
        <v>919950</v>
      </c>
      <c r="CG17">
        <v>1564341</v>
      </c>
      <c r="CH17">
        <v>3</v>
      </c>
      <c r="CI17">
        <v>402</v>
      </c>
      <c r="CJ17">
        <v>478480</v>
      </c>
      <c r="CK17">
        <v>4980091</v>
      </c>
      <c r="CL17">
        <v>816</v>
      </c>
      <c r="CM17">
        <v>492625</v>
      </c>
      <c r="CN17">
        <v>4977029</v>
      </c>
      <c r="CO17">
        <v>10997.2</v>
      </c>
      <c r="CP17">
        <v>22127.91</v>
      </c>
      <c r="CQ17">
        <v>10.997199999999999</v>
      </c>
      <c r="CR17">
        <v>22.12791</v>
      </c>
      <c r="CS17">
        <f t="shared" si="1"/>
        <v>2414</v>
      </c>
    </row>
    <row r="18" spans="1:97">
      <c r="A18" t="s">
        <v>184</v>
      </c>
      <c r="B18" t="s">
        <v>182</v>
      </c>
      <c r="C18" t="s">
        <v>184</v>
      </c>
      <c r="D18">
        <v>67388</v>
      </c>
      <c r="E18">
        <v>981</v>
      </c>
      <c r="F18">
        <v>524.91300000000001</v>
      </c>
      <c r="G18">
        <v>23559</v>
      </c>
      <c r="H18">
        <v>342.91579999999999</v>
      </c>
      <c r="I18">
        <v>56572</v>
      </c>
      <c r="J18">
        <v>0.85</v>
      </c>
      <c r="K18">
        <v>2757</v>
      </c>
      <c r="L18">
        <v>2151</v>
      </c>
      <c r="M18">
        <v>2351</v>
      </c>
      <c r="N18">
        <v>1745</v>
      </c>
      <c r="O18">
        <v>4702</v>
      </c>
      <c r="P18">
        <v>1745</v>
      </c>
      <c r="Q18">
        <v>607</v>
      </c>
      <c r="R18">
        <v>0.174175</v>
      </c>
      <c r="S18">
        <v>1.347278</v>
      </c>
      <c r="T18">
        <v>0.44960800000000001</v>
      </c>
      <c r="U18">
        <v>0.1958085</v>
      </c>
      <c r="V18">
        <v>0.12790309999999999</v>
      </c>
      <c r="W18">
        <v>0.87209689999999995</v>
      </c>
      <c r="X18">
        <v>7.7300000000000003E-4</v>
      </c>
      <c r="Y18" s="2">
        <f t="shared" si="0"/>
        <v>0.77300000000000002</v>
      </c>
      <c r="Z18">
        <v>71565463</v>
      </c>
      <c r="AA18">
        <v>52962719</v>
      </c>
      <c r="AB18">
        <v>12500</v>
      </c>
      <c r="AC18">
        <v>1.35</v>
      </c>
      <c r="AD18">
        <v>0.18</v>
      </c>
      <c r="AE18">
        <v>0.36</v>
      </c>
      <c r="AF18">
        <v>1.7</v>
      </c>
      <c r="AG18">
        <v>19508.64</v>
      </c>
      <c r="AH18">
        <v>440837.1</v>
      </c>
      <c r="AI18">
        <v>7806</v>
      </c>
      <c r="AJ18">
        <v>460346</v>
      </c>
      <c r="AK18">
        <v>69</v>
      </c>
      <c r="AL18">
        <v>7</v>
      </c>
      <c r="AM18">
        <v>21</v>
      </c>
      <c r="AN18">
        <v>8</v>
      </c>
      <c r="AO18">
        <v>9</v>
      </c>
      <c r="AP18">
        <v>2305</v>
      </c>
      <c r="AQ18">
        <v>0</v>
      </c>
      <c r="AR18">
        <v>8</v>
      </c>
      <c r="AS18">
        <v>0</v>
      </c>
      <c r="AT18">
        <v>0</v>
      </c>
      <c r="AU18">
        <v>7806</v>
      </c>
      <c r="AV18">
        <v>6390</v>
      </c>
      <c r="AW18">
        <v>5312</v>
      </c>
      <c r="AX18">
        <v>438677</v>
      </c>
      <c r="AY18">
        <v>0</v>
      </c>
      <c r="AZ18">
        <v>2160</v>
      </c>
      <c r="BA18">
        <v>0</v>
      </c>
      <c r="BB18">
        <v>0</v>
      </c>
      <c r="BC18">
        <v>1629593</v>
      </c>
      <c r="BD18">
        <v>254</v>
      </c>
      <c r="BE18">
        <v>1583093</v>
      </c>
      <c r="BF18">
        <v>38</v>
      </c>
      <c r="BG18">
        <v>864360</v>
      </c>
      <c r="BH18">
        <v>36219</v>
      </c>
      <c r="BI18">
        <v>23.864820000000002</v>
      </c>
      <c r="BJ18">
        <v>26.10463</v>
      </c>
      <c r="BK18">
        <v>26.10463</v>
      </c>
      <c r="BL18">
        <v>26.10463</v>
      </c>
      <c r="BM18">
        <v>472426.6</v>
      </c>
      <c r="BN18">
        <v>4995365</v>
      </c>
      <c r="BO18">
        <v>956.04549999999995</v>
      </c>
      <c r="BP18">
        <v>68.701999999999998</v>
      </c>
      <c r="BQ18">
        <v>8.4193599999999993E-2</v>
      </c>
      <c r="BR18">
        <v>13.91583</v>
      </c>
      <c r="BS18">
        <v>744679.6</v>
      </c>
      <c r="BT18">
        <v>400242.6</v>
      </c>
      <c r="BU18">
        <v>260341.7</v>
      </c>
      <c r="BV18" s="1">
        <v>62750000000</v>
      </c>
      <c r="BW18" s="1">
        <v>131300000000</v>
      </c>
      <c r="BX18" s="1">
        <v>20680000000</v>
      </c>
      <c r="BY18" s="1">
        <v>40280000000</v>
      </c>
      <c r="BZ18" s="1">
        <v>17130000000</v>
      </c>
      <c r="CA18" s="1">
        <v>32800000000</v>
      </c>
      <c r="CB18">
        <v>964017</v>
      </c>
      <c r="CC18">
        <v>2017238</v>
      </c>
      <c r="CD18">
        <v>571059</v>
      </c>
      <c r="CE18">
        <v>1112542</v>
      </c>
      <c r="CF18">
        <v>736788</v>
      </c>
      <c r="CG18">
        <v>1409085</v>
      </c>
      <c r="CH18">
        <v>3</v>
      </c>
      <c r="CI18">
        <v>402</v>
      </c>
      <c r="CJ18">
        <v>478480</v>
      </c>
      <c r="CK18">
        <v>4980091</v>
      </c>
      <c r="CL18">
        <v>816</v>
      </c>
      <c r="CM18">
        <v>492625</v>
      </c>
      <c r="CN18">
        <v>4977029</v>
      </c>
      <c r="CO18">
        <v>16429.34</v>
      </c>
      <c r="CP18">
        <v>27279.39</v>
      </c>
      <c r="CQ18">
        <v>16.42934</v>
      </c>
      <c r="CR18">
        <v>27.279389999999999</v>
      </c>
      <c r="CS18">
        <f t="shared" si="1"/>
        <v>1467.4750716332378</v>
      </c>
    </row>
    <row r="19" spans="1:97">
      <c r="A19" t="s">
        <v>185</v>
      </c>
      <c r="B19" t="s">
        <v>160</v>
      </c>
      <c r="C19" t="s">
        <v>185</v>
      </c>
      <c r="D19">
        <v>3557</v>
      </c>
      <c r="E19">
        <v>39</v>
      </c>
      <c r="F19">
        <v>19.527470000000001</v>
      </c>
      <c r="G19">
        <v>321</v>
      </c>
      <c r="H19">
        <v>3.5233279999999998</v>
      </c>
      <c r="I19">
        <v>63819</v>
      </c>
      <c r="J19">
        <v>0.85</v>
      </c>
      <c r="K19">
        <v>379</v>
      </c>
      <c r="L19">
        <v>337</v>
      </c>
      <c r="M19">
        <v>280</v>
      </c>
      <c r="N19">
        <v>238</v>
      </c>
      <c r="O19">
        <v>560</v>
      </c>
      <c r="P19">
        <v>238</v>
      </c>
      <c r="Q19">
        <v>43</v>
      </c>
      <c r="R19">
        <v>9.1295100000000004E-2</v>
      </c>
      <c r="S19">
        <v>1.176471</v>
      </c>
      <c r="T19">
        <v>0.3954802</v>
      </c>
      <c r="U19">
        <v>0.55590530000000005</v>
      </c>
      <c r="V19">
        <v>0.2463206</v>
      </c>
      <c r="W19">
        <v>0.7536794</v>
      </c>
      <c r="X19">
        <v>4.9639999999999997E-3</v>
      </c>
      <c r="Y19" s="2">
        <f t="shared" si="0"/>
        <v>4.9639999999999995</v>
      </c>
      <c r="Z19">
        <v>78573471</v>
      </c>
      <c r="AA19">
        <v>58137072</v>
      </c>
      <c r="AB19">
        <v>11864</v>
      </c>
      <c r="AC19">
        <v>1.35</v>
      </c>
      <c r="AD19">
        <v>0.64</v>
      </c>
      <c r="AE19">
        <v>0.56999999999999995</v>
      </c>
      <c r="AF19">
        <v>0</v>
      </c>
      <c r="AG19">
        <v>7525.76</v>
      </c>
      <c r="AH19">
        <v>148127.70000000001</v>
      </c>
      <c r="AI19">
        <v>0</v>
      </c>
      <c r="AJ19">
        <v>155653</v>
      </c>
      <c r="AK19">
        <v>91</v>
      </c>
      <c r="AL19">
        <v>2</v>
      </c>
      <c r="AM19">
        <v>0</v>
      </c>
      <c r="AN19">
        <v>0</v>
      </c>
      <c r="AO19">
        <v>10</v>
      </c>
      <c r="AP19">
        <v>246</v>
      </c>
      <c r="AQ19">
        <v>0</v>
      </c>
      <c r="AR19">
        <v>0</v>
      </c>
      <c r="AS19">
        <v>24</v>
      </c>
      <c r="AT19">
        <v>0</v>
      </c>
      <c r="AU19">
        <v>0</v>
      </c>
      <c r="AV19">
        <v>0</v>
      </c>
      <c r="AW19">
        <v>7526</v>
      </c>
      <c r="AX19">
        <v>140156</v>
      </c>
      <c r="AY19">
        <v>0</v>
      </c>
      <c r="AZ19">
        <v>0</v>
      </c>
      <c r="BA19">
        <v>7971</v>
      </c>
      <c r="BB19">
        <v>0</v>
      </c>
      <c r="BC19">
        <v>0</v>
      </c>
      <c r="BD19">
        <v>0</v>
      </c>
      <c r="BE19">
        <v>88053</v>
      </c>
      <c r="BF19">
        <v>40</v>
      </c>
      <c r="BG19">
        <v>57040</v>
      </c>
      <c r="BH19">
        <v>1777</v>
      </c>
      <c r="BI19">
        <v>32.099040000000002</v>
      </c>
      <c r="BJ19">
        <v>27.998419999999999</v>
      </c>
      <c r="BK19">
        <v>27.998419999999999</v>
      </c>
      <c r="BL19">
        <v>27.998419999999999</v>
      </c>
      <c r="BM19">
        <v>464781</v>
      </c>
      <c r="BN19">
        <v>5021050</v>
      </c>
      <c r="BO19">
        <v>403.23200000000003</v>
      </c>
      <c r="BP19">
        <v>91.107039999999998</v>
      </c>
      <c r="BQ19">
        <v>0.85950040000000005</v>
      </c>
      <c r="BR19">
        <v>4.4259139999999997</v>
      </c>
      <c r="BS19">
        <v>34083.25</v>
      </c>
      <c r="BT19">
        <v>17027.25</v>
      </c>
      <c r="BU19">
        <v>3075.8290000000002</v>
      </c>
      <c r="BV19" s="1">
        <v>299400000</v>
      </c>
      <c r="BW19" s="1">
        <v>913300000</v>
      </c>
      <c r="BX19">
        <v>93572083</v>
      </c>
      <c r="BY19" s="1">
        <v>367900000</v>
      </c>
      <c r="BZ19">
        <v>6604152</v>
      </c>
      <c r="CA19" s="1">
        <v>26100000</v>
      </c>
      <c r="CB19">
        <v>84481</v>
      </c>
      <c r="CC19">
        <v>257710</v>
      </c>
      <c r="CD19">
        <v>49063</v>
      </c>
      <c r="CE19">
        <v>192895</v>
      </c>
      <c r="CF19">
        <v>19597</v>
      </c>
      <c r="CG19">
        <v>77453</v>
      </c>
      <c r="CH19">
        <v>3</v>
      </c>
      <c r="CI19">
        <v>402</v>
      </c>
      <c r="CJ19">
        <v>478480</v>
      </c>
      <c r="CK19">
        <v>4980091</v>
      </c>
      <c r="CL19">
        <v>816</v>
      </c>
      <c r="CM19">
        <v>492625</v>
      </c>
      <c r="CN19">
        <v>4977029</v>
      </c>
      <c r="CO19">
        <v>43188.68</v>
      </c>
      <c r="CP19">
        <v>52087.38</v>
      </c>
      <c r="CQ19">
        <v>43.188679999999998</v>
      </c>
      <c r="CR19">
        <v>52.087380000000003</v>
      </c>
      <c r="CS19">
        <f t="shared" si="1"/>
        <v>597.81512605042019</v>
      </c>
    </row>
    <row r="20" spans="1:97">
      <c r="A20" t="s">
        <v>186</v>
      </c>
      <c r="B20" t="s">
        <v>163</v>
      </c>
      <c r="C20" t="s">
        <v>186</v>
      </c>
      <c r="D20">
        <v>60220</v>
      </c>
      <c r="E20">
        <v>862</v>
      </c>
      <c r="F20">
        <v>484.74290000000002</v>
      </c>
      <c r="G20">
        <v>32063</v>
      </c>
      <c r="H20">
        <v>458.94040000000001</v>
      </c>
      <c r="I20">
        <v>57965</v>
      </c>
      <c r="J20">
        <v>0.87</v>
      </c>
      <c r="K20">
        <v>2738</v>
      </c>
      <c r="L20">
        <v>2199</v>
      </c>
      <c r="M20">
        <v>2518</v>
      </c>
      <c r="N20">
        <v>1979</v>
      </c>
      <c r="O20">
        <v>5036</v>
      </c>
      <c r="P20">
        <v>1979</v>
      </c>
      <c r="Q20">
        <v>540</v>
      </c>
      <c r="R20">
        <v>0.13660510000000001</v>
      </c>
      <c r="S20">
        <v>1.2723599999999999</v>
      </c>
      <c r="T20">
        <v>0.42454900000000001</v>
      </c>
      <c r="U20">
        <v>0.18097070000000001</v>
      </c>
      <c r="V20">
        <v>0.22072030000000001</v>
      </c>
      <c r="W20">
        <v>0.77927970000000002</v>
      </c>
      <c r="X20">
        <v>6.4300000000000002E-4</v>
      </c>
      <c r="Y20" s="2">
        <f t="shared" si="0"/>
        <v>0.64300000000000002</v>
      </c>
      <c r="Z20">
        <v>66671669</v>
      </c>
      <c r="AA20">
        <v>51161269</v>
      </c>
      <c r="AB20">
        <v>12500</v>
      </c>
      <c r="AC20">
        <v>1.3</v>
      </c>
      <c r="AD20">
        <v>0.55000000000000004</v>
      </c>
      <c r="AE20">
        <v>0.68</v>
      </c>
      <c r="AF20">
        <v>3.63</v>
      </c>
      <c r="AG20">
        <v>26323.82</v>
      </c>
      <c r="AH20">
        <v>429360.3</v>
      </c>
      <c r="AI20">
        <v>16552</v>
      </c>
      <c r="AJ20">
        <v>455684</v>
      </c>
      <c r="AK20">
        <v>70</v>
      </c>
      <c r="AL20">
        <v>7</v>
      </c>
      <c r="AM20">
        <v>44</v>
      </c>
      <c r="AN20">
        <v>0</v>
      </c>
      <c r="AO20">
        <v>32</v>
      </c>
      <c r="AP20">
        <v>2318</v>
      </c>
      <c r="AQ20">
        <v>0</v>
      </c>
      <c r="AR20">
        <v>47</v>
      </c>
      <c r="AS20">
        <v>77</v>
      </c>
      <c r="AT20">
        <v>0</v>
      </c>
      <c r="AU20">
        <v>16552</v>
      </c>
      <c r="AV20">
        <v>0</v>
      </c>
      <c r="AW20">
        <v>9772</v>
      </c>
      <c r="AX20">
        <v>408379</v>
      </c>
      <c r="AY20">
        <v>0</v>
      </c>
      <c r="AZ20">
        <v>12005</v>
      </c>
      <c r="BA20">
        <v>8976</v>
      </c>
      <c r="BB20">
        <v>0</v>
      </c>
      <c r="BC20">
        <v>1541442</v>
      </c>
      <c r="BD20">
        <v>264</v>
      </c>
      <c r="BE20">
        <v>1538892</v>
      </c>
      <c r="BF20">
        <v>41</v>
      </c>
      <c r="BG20">
        <v>759420</v>
      </c>
      <c r="BH20">
        <v>33932</v>
      </c>
      <c r="BI20">
        <v>22.38064</v>
      </c>
      <c r="BJ20">
        <v>26.051559999999998</v>
      </c>
      <c r="BK20">
        <v>26.051559999999998</v>
      </c>
      <c r="BL20">
        <v>26.051559999999998</v>
      </c>
      <c r="BM20">
        <v>477894.9</v>
      </c>
      <c r="BN20">
        <v>4956862</v>
      </c>
      <c r="BO20">
        <v>909.72029999999995</v>
      </c>
      <c r="BP20">
        <v>69.863100000000003</v>
      </c>
      <c r="BQ20">
        <v>0.1100206</v>
      </c>
      <c r="BR20">
        <v>13.021470000000001</v>
      </c>
      <c r="BS20">
        <v>700725.4</v>
      </c>
      <c r="BT20">
        <v>394835.8</v>
      </c>
      <c r="BU20">
        <v>373088</v>
      </c>
      <c r="BV20" s="1">
        <v>46630000000</v>
      </c>
      <c r="BW20" s="1">
        <v>114800000000</v>
      </c>
      <c r="BX20" s="1">
        <v>17890000000</v>
      </c>
      <c r="BY20" s="1">
        <v>37940000000</v>
      </c>
      <c r="BZ20" s="1">
        <v>18470000000</v>
      </c>
      <c r="CA20" s="1">
        <v>44200000000</v>
      </c>
      <c r="CB20">
        <v>774347</v>
      </c>
      <c r="CC20">
        <v>1906916</v>
      </c>
      <c r="CD20">
        <v>507814</v>
      </c>
      <c r="CE20">
        <v>1077018</v>
      </c>
      <c r="CF20">
        <v>581400</v>
      </c>
      <c r="CG20">
        <v>1392227</v>
      </c>
      <c r="CH20">
        <v>3</v>
      </c>
      <c r="CI20">
        <v>402</v>
      </c>
      <c r="CJ20">
        <v>478480</v>
      </c>
      <c r="CK20">
        <v>4980091</v>
      </c>
      <c r="CL20">
        <v>816</v>
      </c>
      <c r="CM20">
        <v>492625</v>
      </c>
      <c r="CN20">
        <v>4977029</v>
      </c>
      <c r="CO20">
        <v>23236.37</v>
      </c>
      <c r="CP20">
        <v>24973.66</v>
      </c>
      <c r="CQ20">
        <v>23.236370000000001</v>
      </c>
      <c r="CR20">
        <v>24.973659999999999</v>
      </c>
      <c r="CS20">
        <f t="shared" si="1"/>
        <v>1247.6099039919152</v>
      </c>
    </row>
    <row r="21" spans="1:97">
      <c r="A21" t="s">
        <v>187</v>
      </c>
      <c r="B21" t="s">
        <v>258</v>
      </c>
      <c r="C21" t="s">
        <v>187</v>
      </c>
      <c r="D21">
        <v>955</v>
      </c>
      <c r="E21">
        <v>11</v>
      </c>
      <c r="F21">
        <v>5.3</v>
      </c>
      <c r="G21">
        <v>31</v>
      </c>
      <c r="H21">
        <v>0.34554309999999999</v>
      </c>
      <c r="I21">
        <v>60563</v>
      </c>
      <c r="J21">
        <v>0.83</v>
      </c>
      <c r="K21">
        <v>382</v>
      </c>
      <c r="L21">
        <v>367</v>
      </c>
      <c r="M21">
        <v>275</v>
      </c>
      <c r="N21">
        <v>260</v>
      </c>
      <c r="O21">
        <v>550</v>
      </c>
      <c r="P21">
        <v>260</v>
      </c>
      <c r="Q21">
        <v>16</v>
      </c>
      <c r="R21">
        <v>3.1067999999999998E-2</v>
      </c>
      <c r="S21">
        <v>1.0576920000000001</v>
      </c>
      <c r="T21">
        <v>0.35529709999999998</v>
      </c>
      <c r="U21">
        <v>0.56258770000000002</v>
      </c>
      <c r="V21">
        <v>0.3747434</v>
      </c>
      <c r="W21">
        <v>0.6252567</v>
      </c>
      <c r="X21">
        <v>4.084E-3</v>
      </c>
      <c r="Y21" s="2">
        <f t="shared" si="0"/>
        <v>4.0839999999999996</v>
      </c>
      <c r="Z21">
        <v>102988917</v>
      </c>
      <c r="AA21">
        <v>63036684</v>
      </c>
      <c r="AB21">
        <v>12350</v>
      </c>
      <c r="AC21">
        <v>1.63</v>
      </c>
      <c r="AD21">
        <v>1.0900000000000001</v>
      </c>
      <c r="AE21">
        <v>1.02</v>
      </c>
      <c r="AF21">
        <v>0</v>
      </c>
      <c r="AG21">
        <v>8082.25</v>
      </c>
      <c r="AH21">
        <v>146629.4</v>
      </c>
      <c r="AI21">
        <v>0</v>
      </c>
      <c r="AJ21">
        <v>154712</v>
      </c>
      <c r="AK21">
        <v>90</v>
      </c>
      <c r="AL21">
        <v>2</v>
      </c>
      <c r="AM21">
        <v>0</v>
      </c>
      <c r="AN21">
        <v>0</v>
      </c>
      <c r="AO21">
        <v>7</v>
      </c>
      <c r="AP21">
        <v>171</v>
      </c>
      <c r="AQ21">
        <v>0</v>
      </c>
      <c r="AR21">
        <v>0</v>
      </c>
      <c r="AS21">
        <v>97</v>
      </c>
      <c r="AT21">
        <v>0</v>
      </c>
      <c r="AU21">
        <v>0</v>
      </c>
      <c r="AV21">
        <v>0</v>
      </c>
      <c r="AW21">
        <v>8082</v>
      </c>
      <c r="AX21">
        <v>113809</v>
      </c>
      <c r="AY21">
        <v>0</v>
      </c>
      <c r="AZ21">
        <v>0</v>
      </c>
      <c r="BA21">
        <v>32821</v>
      </c>
      <c r="BB21">
        <v>0</v>
      </c>
      <c r="BC21">
        <v>0</v>
      </c>
      <c r="BD21">
        <v>0</v>
      </c>
      <c r="BE21">
        <v>26551</v>
      </c>
      <c r="BF21">
        <v>45</v>
      </c>
      <c r="BG21">
        <v>13675</v>
      </c>
      <c r="BH21">
        <v>477</v>
      </c>
      <c r="BI21">
        <v>28.668759999999999</v>
      </c>
      <c r="BJ21">
        <v>27.909700000000001</v>
      </c>
      <c r="BK21">
        <v>27.909700000000001</v>
      </c>
      <c r="BL21">
        <v>27.909700000000001</v>
      </c>
      <c r="BM21">
        <v>424928.6</v>
      </c>
      <c r="BN21">
        <v>4966335</v>
      </c>
      <c r="BO21">
        <v>371.1302</v>
      </c>
      <c r="BP21">
        <v>89.697280000000006</v>
      </c>
      <c r="BQ21">
        <v>0.93434669999999997</v>
      </c>
      <c r="BR21">
        <v>4.1375859999999998</v>
      </c>
      <c r="BS21">
        <v>6318.9889999999996</v>
      </c>
      <c r="BT21">
        <v>3156.1860000000001</v>
      </c>
      <c r="BU21">
        <v>205.119</v>
      </c>
      <c r="BV21">
        <v>58254380</v>
      </c>
      <c r="BW21" s="1">
        <v>215000000</v>
      </c>
      <c r="BX21">
        <v>17038583</v>
      </c>
      <c r="BY21">
        <v>66087500</v>
      </c>
      <c r="BZ21">
        <v>1677730</v>
      </c>
      <c r="CA21">
        <v>4893773</v>
      </c>
      <c r="CB21">
        <v>31540</v>
      </c>
      <c r="CC21">
        <v>116432</v>
      </c>
      <c r="CD21">
        <v>16700</v>
      </c>
      <c r="CE21">
        <v>64776</v>
      </c>
      <c r="CF21">
        <v>12070</v>
      </c>
      <c r="CG21">
        <v>35207</v>
      </c>
      <c r="CH21">
        <v>3</v>
      </c>
      <c r="CI21">
        <v>402</v>
      </c>
      <c r="CJ21">
        <v>478480</v>
      </c>
      <c r="CK21">
        <v>4980091</v>
      </c>
      <c r="CL21">
        <v>816</v>
      </c>
      <c r="CM21">
        <v>492625</v>
      </c>
      <c r="CN21">
        <v>4977029</v>
      </c>
      <c r="CO21">
        <v>55290.13</v>
      </c>
      <c r="CP21">
        <v>68535.98</v>
      </c>
      <c r="CQ21">
        <v>55.290129999999998</v>
      </c>
      <c r="CR21">
        <v>68.535979999999995</v>
      </c>
      <c r="CS21">
        <f t="shared" si="1"/>
        <v>165.28846153846155</v>
      </c>
    </row>
    <row r="22" spans="1:97">
      <c r="A22" t="s">
        <v>188</v>
      </c>
      <c r="B22" t="s">
        <v>258</v>
      </c>
      <c r="C22" t="s">
        <v>188</v>
      </c>
      <c r="D22">
        <v>1266</v>
      </c>
      <c r="E22">
        <v>124</v>
      </c>
      <c r="F22">
        <v>69.8</v>
      </c>
      <c r="G22">
        <v>176</v>
      </c>
      <c r="H22">
        <v>17.256920000000001</v>
      </c>
      <c r="I22">
        <v>65083</v>
      </c>
      <c r="J22">
        <v>0.88</v>
      </c>
      <c r="K22">
        <v>152</v>
      </c>
      <c r="L22">
        <v>134</v>
      </c>
      <c r="M22">
        <v>124</v>
      </c>
      <c r="N22">
        <v>106</v>
      </c>
      <c r="O22">
        <v>248</v>
      </c>
      <c r="P22">
        <v>106</v>
      </c>
      <c r="Q22">
        <v>19</v>
      </c>
      <c r="R22">
        <v>9.1787400000000005E-2</v>
      </c>
      <c r="S22">
        <v>1.1698109999999999</v>
      </c>
      <c r="T22">
        <v>0.39743590000000001</v>
      </c>
      <c r="U22">
        <v>0.24314330000000001</v>
      </c>
      <c r="V22">
        <v>0.64314910000000003</v>
      </c>
      <c r="W22">
        <v>0.35685090000000003</v>
      </c>
      <c r="X22">
        <v>1.1141E-2</v>
      </c>
      <c r="Y22" s="2">
        <f t="shared" si="0"/>
        <v>11.141</v>
      </c>
      <c r="Z22">
        <v>31636817</v>
      </c>
      <c r="AA22">
        <v>20553202</v>
      </c>
      <c r="AB22">
        <v>12500</v>
      </c>
      <c r="AC22">
        <v>1.54</v>
      </c>
      <c r="AD22">
        <v>0.52</v>
      </c>
      <c r="AE22">
        <v>0.74</v>
      </c>
      <c r="AF22">
        <v>0</v>
      </c>
      <c r="AG22">
        <v>3295.81</v>
      </c>
      <c r="AH22">
        <v>26853.96</v>
      </c>
      <c r="AI22">
        <v>0</v>
      </c>
      <c r="AJ22">
        <v>30150</v>
      </c>
      <c r="AK22">
        <v>10</v>
      </c>
      <c r="AL22">
        <v>3</v>
      </c>
      <c r="AM22">
        <v>0</v>
      </c>
      <c r="AN22">
        <v>5</v>
      </c>
      <c r="AO22">
        <v>0</v>
      </c>
      <c r="AP22">
        <v>113</v>
      </c>
      <c r="AQ22">
        <v>0</v>
      </c>
      <c r="AR22">
        <v>0</v>
      </c>
      <c r="AS22">
        <v>6</v>
      </c>
      <c r="AT22">
        <v>0</v>
      </c>
      <c r="AU22">
        <v>0</v>
      </c>
      <c r="AV22">
        <v>3296</v>
      </c>
      <c r="AW22">
        <v>0</v>
      </c>
      <c r="AX22">
        <v>25568</v>
      </c>
      <c r="AY22">
        <v>0</v>
      </c>
      <c r="AZ22">
        <v>0</v>
      </c>
      <c r="BA22">
        <v>1286</v>
      </c>
      <c r="BB22">
        <v>0</v>
      </c>
      <c r="BC22">
        <v>25230</v>
      </c>
      <c r="BD22">
        <v>11</v>
      </c>
      <c r="BE22">
        <v>29825</v>
      </c>
      <c r="BF22">
        <v>38</v>
      </c>
      <c r="BG22">
        <v>19545</v>
      </c>
      <c r="BH22">
        <v>698</v>
      </c>
      <c r="BI22">
        <v>28.001429999999999</v>
      </c>
      <c r="BJ22">
        <v>25.44406</v>
      </c>
      <c r="BK22">
        <v>25.44406</v>
      </c>
      <c r="BL22">
        <v>25.44406</v>
      </c>
      <c r="BM22">
        <v>450352.2</v>
      </c>
      <c r="BN22">
        <v>4956401</v>
      </c>
      <c r="BO22">
        <v>85.608530000000002</v>
      </c>
      <c r="BP22">
        <v>10.19881</v>
      </c>
      <c r="BQ22">
        <v>0.2317911</v>
      </c>
      <c r="BR22">
        <v>8.3939730000000008</v>
      </c>
      <c r="BS22">
        <v>68995.08</v>
      </c>
      <c r="BT22">
        <v>38039.94</v>
      </c>
      <c r="BU22">
        <v>9591.732</v>
      </c>
      <c r="BV22" s="1">
        <v>260700000</v>
      </c>
      <c r="BW22" s="1">
        <v>723700000</v>
      </c>
      <c r="BX22">
        <v>96632878</v>
      </c>
      <c r="BY22" s="1">
        <v>307300000</v>
      </c>
      <c r="BZ22">
        <v>15293520</v>
      </c>
      <c r="CA22" s="1">
        <v>62000000</v>
      </c>
      <c r="CB22">
        <v>205911</v>
      </c>
      <c r="CC22">
        <v>571604</v>
      </c>
      <c r="CD22">
        <v>135000</v>
      </c>
      <c r="CE22">
        <v>429376</v>
      </c>
      <c r="CF22">
        <v>86895</v>
      </c>
      <c r="CG22">
        <v>352483</v>
      </c>
      <c r="CH22">
        <v>3</v>
      </c>
      <c r="CI22">
        <v>402</v>
      </c>
      <c r="CJ22">
        <v>478480</v>
      </c>
      <c r="CK22">
        <v>4980091</v>
      </c>
      <c r="CL22">
        <v>816</v>
      </c>
      <c r="CM22">
        <v>492625</v>
      </c>
      <c r="CN22">
        <v>4977029</v>
      </c>
      <c r="CO22">
        <v>36774.86</v>
      </c>
      <c r="CP22">
        <v>47037.27</v>
      </c>
      <c r="CQ22">
        <v>36.774859999999997</v>
      </c>
      <c r="CR22">
        <v>47.037269999999999</v>
      </c>
      <c r="CS22">
        <f t="shared" si="1"/>
        <v>453.84905660377359</v>
      </c>
    </row>
    <row r="23" spans="1:97">
      <c r="A23" t="s">
        <v>189</v>
      </c>
      <c r="B23" t="s">
        <v>163</v>
      </c>
      <c r="C23" t="s">
        <v>189</v>
      </c>
      <c r="D23">
        <v>1495</v>
      </c>
      <c r="E23">
        <v>16</v>
      </c>
      <c r="F23">
        <v>8.4086020000000001</v>
      </c>
      <c r="G23">
        <v>990</v>
      </c>
      <c r="H23">
        <v>10.68116</v>
      </c>
      <c r="I23">
        <v>59479</v>
      </c>
      <c r="J23">
        <v>0.84</v>
      </c>
      <c r="K23">
        <v>360</v>
      </c>
      <c r="L23">
        <v>322</v>
      </c>
      <c r="M23">
        <v>299</v>
      </c>
      <c r="N23">
        <v>261</v>
      </c>
      <c r="O23">
        <v>598</v>
      </c>
      <c r="P23">
        <v>261</v>
      </c>
      <c r="Q23">
        <v>39</v>
      </c>
      <c r="R23">
        <v>7.5435199999999994E-2</v>
      </c>
      <c r="S23">
        <v>1.145594</v>
      </c>
      <c r="T23">
        <v>0.38481340000000003</v>
      </c>
      <c r="U23">
        <v>0.48559330000000001</v>
      </c>
      <c r="V23">
        <v>0.2451651</v>
      </c>
      <c r="W23">
        <v>0.75483489999999998</v>
      </c>
      <c r="X23">
        <v>4.4060000000000002E-3</v>
      </c>
      <c r="Y23" s="2">
        <f t="shared" si="0"/>
        <v>4.4060000000000006</v>
      </c>
      <c r="Z23">
        <v>88636874</v>
      </c>
      <c r="AA23">
        <v>65149461</v>
      </c>
      <c r="AB23">
        <v>12350</v>
      </c>
      <c r="AC23">
        <v>1.36</v>
      </c>
      <c r="AD23">
        <v>1.17</v>
      </c>
      <c r="AE23">
        <v>0.83</v>
      </c>
      <c r="AF23">
        <v>0</v>
      </c>
      <c r="AG23">
        <v>9494.76</v>
      </c>
      <c r="AH23">
        <v>135697.60000000001</v>
      </c>
      <c r="AI23">
        <v>0</v>
      </c>
      <c r="AJ23">
        <v>145192</v>
      </c>
      <c r="AK23">
        <v>93</v>
      </c>
      <c r="AL23">
        <v>2</v>
      </c>
      <c r="AM23">
        <v>0</v>
      </c>
      <c r="AN23">
        <v>0</v>
      </c>
      <c r="AO23">
        <v>16</v>
      </c>
      <c r="AP23">
        <v>196</v>
      </c>
      <c r="AQ23">
        <v>0</v>
      </c>
      <c r="AR23">
        <v>1</v>
      </c>
      <c r="AS23">
        <v>86</v>
      </c>
      <c r="AT23">
        <v>0</v>
      </c>
      <c r="AU23">
        <v>0</v>
      </c>
      <c r="AV23">
        <v>0</v>
      </c>
      <c r="AW23">
        <v>9495</v>
      </c>
      <c r="AX23">
        <v>120173</v>
      </c>
      <c r="AY23">
        <v>0</v>
      </c>
      <c r="AZ23">
        <v>94</v>
      </c>
      <c r="BA23">
        <v>15431</v>
      </c>
      <c r="BB23">
        <v>0</v>
      </c>
      <c r="BC23">
        <v>0</v>
      </c>
      <c r="BD23">
        <v>0</v>
      </c>
      <c r="BE23">
        <v>37573</v>
      </c>
      <c r="BF23">
        <v>40</v>
      </c>
      <c r="BG23">
        <v>19570</v>
      </c>
      <c r="BH23">
        <v>782</v>
      </c>
      <c r="BI23">
        <v>25.025580000000001</v>
      </c>
      <c r="BJ23">
        <v>30.205860000000001</v>
      </c>
      <c r="BK23">
        <v>30.205860000000001</v>
      </c>
      <c r="BL23">
        <v>30.205860000000001</v>
      </c>
      <c r="BM23">
        <v>492392.4</v>
      </c>
      <c r="BN23">
        <v>4937052</v>
      </c>
      <c r="BO23">
        <v>347.48320000000001</v>
      </c>
      <c r="BP23">
        <v>92.686580000000006</v>
      </c>
      <c r="BQ23">
        <v>0.89986969999999999</v>
      </c>
      <c r="BR23">
        <v>3.749012</v>
      </c>
      <c r="BS23">
        <v>16172.87</v>
      </c>
      <c r="BT23">
        <v>8459.6550000000007</v>
      </c>
      <c r="BU23">
        <v>10709.79</v>
      </c>
      <c r="BV23">
        <v>97334965</v>
      </c>
      <c r="BW23" s="1">
        <v>388600000</v>
      </c>
      <c r="BX23">
        <v>29597883</v>
      </c>
      <c r="BY23" s="1">
        <v>140300000</v>
      </c>
      <c r="BZ23">
        <v>7463080</v>
      </c>
      <c r="CA23" s="1">
        <v>29100000</v>
      </c>
      <c r="CB23">
        <v>65107</v>
      </c>
      <c r="CC23">
        <v>259963</v>
      </c>
      <c r="CD23">
        <v>34755</v>
      </c>
      <c r="CE23">
        <v>164774</v>
      </c>
      <c r="CF23">
        <v>21695</v>
      </c>
      <c r="CG23">
        <v>84574</v>
      </c>
      <c r="CH23">
        <v>3</v>
      </c>
      <c r="CI23">
        <v>402</v>
      </c>
      <c r="CJ23">
        <v>478480</v>
      </c>
      <c r="CK23">
        <v>4980091</v>
      </c>
      <c r="CL23">
        <v>816</v>
      </c>
      <c r="CM23">
        <v>492625</v>
      </c>
      <c r="CN23">
        <v>4977029</v>
      </c>
      <c r="CO23">
        <v>45232.22</v>
      </c>
      <c r="CP23">
        <v>39978.18</v>
      </c>
      <c r="CQ23">
        <v>45.232219999999998</v>
      </c>
      <c r="CR23">
        <v>39.978180000000002</v>
      </c>
      <c r="CS23">
        <f t="shared" si="1"/>
        <v>229.11877394636016</v>
      </c>
    </row>
    <row r="24" spans="1:97">
      <c r="A24" t="s">
        <v>190</v>
      </c>
      <c r="B24" t="s">
        <v>255</v>
      </c>
      <c r="C24" t="s">
        <v>190</v>
      </c>
      <c r="D24">
        <v>2197</v>
      </c>
      <c r="E24">
        <v>23</v>
      </c>
      <c r="F24">
        <v>12.10638</v>
      </c>
      <c r="G24">
        <v>80</v>
      </c>
      <c r="H24">
        <v>0.85265060000000004</v>
      </c>
      <c r="I24">
        <v>75926</v>
      </c>
      <c r="J24">
        <v>0.86</v>
      </c>
      <c r="K24">
        <v>232</v>
      </c>
      <c r="L24">
        <v>204</v>
      </c>
      <c r="M24">
        <v>149</v>
      </c>
      <c r="N24">
        <v>121</v>
      </c>
      <c r="O24">
        <v>298</v>
      </c>
      <c r="P24">
        <v>121</v>
      </c>
      <c r="Q24">
        <v>29</v>
      </c>
      <c r="R24">
        <v>0.1223629</v>
      </c>
      <c r="S24">
        <v>1.2314050000000001</v>
      </c>
      <c r="T24">
        <v>0.41736699999999999</v>
      </c>
      <c r="U24">
        <v>0.93308329999999995</v>
      </c>
      <c r="V24">
        <v>0.26645829999999998</v>
      </c>
      <c r="W24">
        <v>0.73354169999999996</v>
      </c>
      <c r="X24">
        <v>1.0262E-2</v>
      </c>
      <c r="Y24" s="2">
        <f t="shared" si="0"/>
        <v>10.262</v>
      </c>
      <c r="Z24">
        <v>89503145</v>
      </c>
      <c r="AA24">
        <v>63969613</v>
      </c>
      <c r="AB24">
        <v>12500</v>
      </c>
      <c r="AC24">
        <v>1.4</v>
      </c>
      <c r="AD24">
        <v>0.64</v>
      </c>
      <c r="AE24">
        <v>0.55000000000000004</v>
      </c>
      <c r="AF24">
        <v>0</v>
      </c>
      <c r="AG24">
        <v>17727.05</v>
      </c>
      <c r="AH24">
        <v>121302.39999999999</v>
      </c>
      <c r="AI24">
        <v>0</v>
      </c>
      <c r="AJ24">
        <v>139029</v>
      </c>
      <c r="AK24">
        <v>94</v>
      </c>
      <c r="AL24">
        <v>1</v>
      </c>
      <c r="AM24">
        <v>0</v>
      </c>
      <c r="AN24">
        <v>0</v>
      </c>
      <c r="AO24">
        <v>24</v>
      </c>
      <c r="AP24">
        <v>125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17727</v>
      </c>
      <c r="AX24">
        <v>121302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92051</v>
      </c>
      <c r="BF24">
        <v>67</v>
      </c>
      <c r="BG24">
        <v>34070</v>
      </c>
      <c r="BH24">
        <v>1138</v>
      </c>
      <c r="BI24">
        <v>29.938490000000002</v>
      </c>
      <c r="BJ24">
        <v>29.158280000000001</v>
      </c>
      <c r="BK24">
        <v>29.158280000000001</v>
      </c>
      <c r="BL24">
        <v>29.158280000000001</v>
      </c>
      <c r="BM24">
        <v>463414.1</v>
      </c>
      <c r="BN24">
        <v>4937192</v>
      </c>
      <c r="BO24">
        <v>378.64830000000001</v>
      </c>
      <c r="BP24">
        <v>93.825069999999997</v>
      </c>
      <c r="BQ24">
        <v>0.96726880000000004</v>
      </c>
      <c r="BR24">
        <v>4.0356839999999998</v>
      </c>
      <c r="BS24">
        <v>20686.8</v>
      </c>
      <c r="BT24">
        <v>10715.33</v>
      </c>
      <c r="BU24">
        <v>753.27470000000005</v>
      </c>
      <c r="BV24" s="1">
        <v>170900000</v>
      </c>
      <c r="BW24" s="1">
        <v>957200000</v>
      </c>
      <c r="BX24">
        <v>50619820</v>
      </c>
      <c r="BY24" s="1">
        <v>346300000</v>
      </c>
      <c r="BZ24">
        <v>2776410</v>
      </c>
      <c r="CA24" s="1">
        <v>15200000</v>
      </c>
      <c r="CB24">
        <v>77780</v>
      </c>
      <c r="CC24">
        <v>435694</v>
      </c>
      <c r="CD24">
        <v>41396</v>
      </c>
      <c r="CE24">
        <v>283186</v>
      </c>
      <c r="CF24">
        <v>30510</v>
      </c>
      <c r="CG24">
        <v>167002</v>
      </c>
      <c r="CH24">
        <v>3</v>
      </c>
      <c r="CI24">
        <v>402</v>
      </c>
      <c r="CJ24">
        <v>478480</v>
      </c>
      <c r="CK24">
        <v>4980091</v>
      </c>
      <c r="CL24">
        <v>816</v>
      </c>
      <c r="CM24">
        <v>492625</v>
      </c>
      <c r="CN24">
        <v>4977029</v>
      </c>
      <c r="CO24">
        <v>45468.11</v>
      </c>
      <c r="CP24">
        <v>49399.43</v>
      </c>
      <c r="CQ24">
        <v>45.468110000000003</v>
      </c>
      <c r="CR24">
        <v>49.399430000000002</v>
      </c>
      <c r="CS24">
        <f t="shared" si="1"/>
        <v>1216.5206611570247</v>
      </c>
    </row>
    <row r="25" spans="1:97">
      <c r="A25" t="s">
        <v>191</v>
      </c>
      <c r="B25" t="s">
        <v>160</v>
      </c>
      <c r="C25" t="s">
        <v>191</v>
      </c>
      <c r="D25">
        <v>3202</v>
      </c>
      <c r="E25">
        <v>509</v>
      </c>
      <c r="F25">
        <v>301.66669999999999</v>
      </c>
      <c r="G25">
        <v>349</v>
      </c>
      <c r="H25">
        <v>55.532130000000002</v>
      </c>
      <c r="I25">
        <v>63696</v>
      </c>
      <c r="J25">
        <v>0.89</v>
      </c>
      <c r="K25">
        <v>185</v>
      </c>
      <c r="L25">
        <v>160</v>
      </c>
      <c r="M25">
        <v>166</v>
      </c>
      <c r="N25">
        <v>141</v>
      </c>
      <c r="O25">
        <v>332</v>
      </c>
      <c r="P25">
        <v>141</v>
      </c>
      <c r="Q25">
        <v>26</v>
      </c>
      <c r="R25">
        <v>9.3862799999999996E-2</v>
      </c>
      <c r="S25">
        <v>1.177305</v>
      </c>
      <c r="T25">
        <v>0.39808149999999998</v>
      </c>
      <c r="U25">
        <v>0.1817937</v>
      </c>
      <c r="V25">
        <v>0.38174370000000002</v>
      </c>
      <c r="W25">
        <v>0.61825629999999998</v>
      </c>
      <c r="X25">
        <v>8.4089999999999998E-3</v>
      </c>
      <c r="Y25" s="2">
        <f t="shared" si="0"/>
        <v>8.4089999999999989</v>
      </c>
      <c r="Z25">
        <v>22207218</v>
      </c>
      <c r="AA25">
        <v>16052494</v>
      </c>
      <c r="AB25">
        <v>12500</v>
      </c>
      <c r="AC25">
        <v>1.38</v>
      </c>
      <c r="AD25">
        <v>0.56000000000000005</v>
      </c>
      <c r="AE25">
        <v>0.3</v>
      </c>
      <c r="AF25">
        <v>0</v>
      </c>
      <c r="AG25">
        <v>0</v>
      </c>
      <c r="AH25">
        <v>30177.759999999998</v>
      </c>
      <c r="AI25">
        <v>0</v>
      </c>
      <c r="AJ25">
        <v>30178</v>
      </c>
      <c r="AK25">
        <v>6</v>
      </c>
      <c r="AL25">
        <v>5</v>
      </c>
      <c r="AM25">
        <v>0</v>
      </c>
      <c r="AN25">
        <v>0</v>
      </c>
      <c r="AO25">
        <v>0</v>
      </c>
      <c r="AP25">
        <v>144</v>
      </c>
      <c r="AQ25">
        <v>0</v>
      </c>
      <c r="AR25">
        <v>0</v>
      </c>
      <c r="AS25">
        <v>22</v>
      </c>
      <c r="AT25">
        <v>0</v>
      </c>
      <c r="AU25">
        <v>0</v>
      </c>
      <c r="AV25">
        <v>0</v>
      </c>
      <c r="AW25">
        <v>0</v>
      </c>
      <c r="AX25">
        <v>28602</v>
      </c>
      <c r="AY25">
        <v>0</v>
      </c>
      <c r="AZ25">
        <v>0</v>
      </c>
      <c r="BA25">
        <v>1575</v>
      </c>
      <c r="BB25">
        <v>0</v>
      </c>
      <c r="BC25">
        <v>25163</v>
      </c>
      <c r="BD25">
        <v>13</v>
      </c>
      <c r="BE25">
        <v>24612</v>
      </c>
      <c r="BF25">
        <v>12</v>
      </c>
      <c r="BG25">
        <v>49795</v>
      </c>
      <c r="BH25">
        <v>1810</v>
      </c>
      <c r="BI25">
        <v>27.511050000000001</v>
      </c>
      <c r="BJ25">
        <v>25.835640000000001</v>
      </c>
      <c r="BK25">
        <v>25.835640000000001</v>
      </c>
      <c r="BL25">
        <v>25.835640000000001</v>
      </c>
      <c r="BM25">
        <v>495753</v>
      </c>
      <c r="BN25">
        <v>5001173</v>
      </c>
      <c r="BO25">
        <v>81.882549999999995</v>
      </c>
      <c r="BP25">
        <v>6.2846500000000001</v>
      </c>
      <c r="BQ25">
        <v>0.1185783</v>
      </c>
      <c r="BR25">
        <v>13.028980000000001</v>
      </c>
      <c r="BS25">
        <v>361462.3</v>
      </c>
      <c r="BT25">
        <v>204324.4</v>
      </c>
      <c r="BU25">
        <v>39397.360000000001</v>
      </c>
      <c r="CH25">
        <v>1</v>
      </c>
      <c r="CI25">
        <v>402</v>
      </c>
      <c r="CJ25">
        <v>478480</v>
      </c>
      <c r="CK25">
        <v>4980091</v>
      </c>
      <c r="CL25">
        <v>816</v>
      </c>
      <c r="CM25">
        <v>492625</v>
      </c>
      <c r="CN25">
        <v>4977029</v>
      </c>
      <c r="CO25">
        <v>27254.47</v>
      </c>
      <c r="CP25">
        <v>24345.78</v>
      </c>
      <c r="CQ25">
        <v>27.254470000000001</v>
      </c>
      <c r="CR25">
        <v>24.345780000000001</v>
      </c>
      <c r="CS25">
        <f t="shared" si="1"/>
        <v>272.51063829787233</v>
      </c>
    </row>
    <row r="26" spans="1:97">
      <c r="A26" t="s">
        <v>192</v>
      </c>
      <c r="B26" t="s">
        <v>193</v>
      </c>
      <c r="C26" t="s">
        <v>192</v>
      </c>
      <c r="D26">
        <v>22193</v>
      </c>
      <c r="E26">
        <v>979</v>
      </c>
      <c r="F26">
        <v>533.91300000000001</v>
      </c>
      <c r="G26">
        <v>2722</v>
      </c>
      <c r="H26">
        <v>120.0462</v>
      </c>
      <c r="I26">
        <v>65831</v>
      </c>
      <c r="J26">
        <v>0.88</v>
      </c>
      <c r="K26">
        <v>1106</v>
      </c>
      <c r="L26">
        <v>888</v>
      </c>
      <c r="M26">
        <v>1008</v>
      </c>
      <c r="N26">
        <v>790</v>
      </c>
      <c r="O26">
        <v>2016</v>
      </c>
      <c r="P26">
        <v>790</v>
      </c>
      <c r="Q26">
        <v>219</v>
      </c>
      <c r="R26">
        <v>0.13904759999999999</v>
      </c>
      <c r="S26">
        <v>1.275949</v>
      </c>
      <c r="T26">
        <v>0.426396</v>
      </c>
      <c r="U26">
        <v>0.16557549999999999</v>
      </c>
      <c r="V26">
        <v>0.19814880000000001</v>
      </c>
      <c r="W26">
        <v>0.80185119999999999</v>
      </c>
      <c r="X26">
        <v>1.6169999999999999E-3</v>
      </c>
      <c r="Y26" s="2">
        <f t="shared" si="0"/>
        <v>1.617</v>
      </c>
      <c r="Z26">
        <v>43601041</v>
      </c>
      <c r="AA26">
        <v>32960875</v>
      </c>
      <c r="AB26">
        <v>12500</v>
      </c>
      <c r="AC26">
        <v>1.32</v>
      </c>
      <c r="AD26">
        <v>0.12</v>
      </c>
      <c r="AE26">
        <v>0.18</v>
      </c>
      <c r="AF26">
        <v>0</v>
      </c>
      <c r="AG26">
        <v>4600.2299999999996</v>
      </c>
      <c r="AH26">
        <v>162299.9</v>
      </c>
      <c r="AI26">
        <v>0</v>
      </c>
      <c r="AJ26">
        <v>166900</v>
      </c>
      <c r="AK26">
        <v>23</v>
      </c>
      <c r="AL26">
        <v>7</v>
      </c>
      <c r="AM26">
        <v>0</v>
      </c>
      <c r="AN26">
        <v>16</v>
      </c>
      <c r="AO26">
        <v>0</v>
      </c>
      <c r="AP26">
        <v>992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4600</v>
      </c>
      <c r="AW26">
        <v>0</v>
      </c>
      <c r="AX26">
        <v>162300</v>
      </c>
      <c r="AY26">
        <v>0</v>
      </c>
      <c r="AZ26">
        <v>0</v>
      </c>
      <c r="BA26">
        <v>0</v>
      </c>
      <c r="BB26">
        <v>0</v>
      </c>
      <c r="BC26">
        <v>258375</v>
      </c>
      <c r="BD26">
        <v>88</v>
      </c>
      <c r="BE26">
        <v>249767</v>
      </c>
      <c r="BF26">
        <v>18</v>
      </c>
      <c r="BG26">
        <v>345900</v>
      </c>
      <c r="BH26">
        <v>12280</v>
      </c>
      <c r="BI26">
        <v>28.167750000000002</v>
      </c>
      <c r="BJ26">
        <v>26.082100000000001</v>
      </c>
      <c r="BK26">
        <v>26.082100000000001</v>
      </c>
      <c r="BL26">
        <v>26.082100000000001</v>
      </c>
      <c r="BM26">
        <v>469323.6</v>
      </c>
      <c r="BN26">
        <v>5001951</v>
      </c>
      <c r="BO26">
        <v>333.64269999999999</v>
      </c>
      <c r="BP26">
        <v>22.674600000000002</v>
      </c>
      <c r="BQ26">
        <v>8.2753999999999994E-2</v>
      </c>
      <c r="BR26">
        <v>14.71438</v>
      </c>
      <c r="BS26">
        <v>774021.2</v>
      </c>
      <c r="BT26">
        <v>428287.3</v>
      </c>
      <c r="BU26">
        <v>94934.7</v>
      </c>
      <c r="BV26" s="1">
        <v>12350000000</v>
      </c>
      <c r="BW26" s="1">
        <v>30880000000</v>
      </c>
      <c r="BX26" s="1">
        <v>4493000000</v>
      </c>
      <c r="BY26" s="1">
        <v>10890000000</v>
      </c>
      <c r="BZ26" s="1">
        <v>678800000</v>
      </c>
      <c r="CA26" s="1">
        <v>2540000000</v>
      </c>
      <c r="CB26">
        <v>556645</v>
      </c>
      <c r="CC26">
        <v>1391545</v>
      </c>
      <c r="CD26">
        <v>354423</v>
      </c>
      <c r="CE26">
        <v>858819</v>
      </c>
      <c r="CF26">
        <v>248264</v>
      </c>
      <c r="CG26">
        <v>928108</v>
      </c>
      <c r="CH26">
        <v>3</v>
      </c>
      <c r="CI26">
        <v>402</v>
      </c>
      <c r="CJ26">
        <v>478480</v>
      </c>
      <c r="CK26">
        <v>4980091</v>
      </c>
      <c r="CL26">
        <v>816</v>
      </c>
      <c r="CM26">
        <v>492625</v>
      </c>
      <c r="CN26">
        <v>4977029</v>
      </c>
      <c r="CO26">
        <v>23699.72</v>
      </c>
      <c r="CP26">
        <v>34117.96</v>
      </c>
      <c r="CQ26">
        <v>23.699719999999999</v>
      </c>
      <c r="CR26">
        <v>34.117959999999997</v>
      </c>
      <c r="CS26">
        <f t="shared" si="1"/>
        <v>505.66329113924053</v>
      </c>
    </row>
    <row r="27" spans="1:97">
      <c r="A27" t="s">
        <v>194</v>
      </c>
      <c r="B27" t="s">
        <v>258</v>
      </c>
      <c r="C27" t="s">
        <v>194</v>
      </c>
      <c r="D27">
        <v>20321</v>
      </c>
      <c r="E27">
        <v>345</v>
      </c>
      <c r="F27">
        <v>171.69489999999999</v>
      </c>
      <c r="G27">
        <v>8387</v>
      </c>
      <c r="H27">
        <v>142.19560000000001</v>
      </c>
      <c r="I27">
        <v>84215</v>
      </c>
      <c r="J27">
        <v>0.89</v>
      </c>
      <c r="K27">
        <v>1831</v>
      </c>
      <c r="L27">
        <v>1566</v>
      </c>
      <c r="M27">
        <v>1612</v>
      </c>
      <c r="N27">
        <v>1347</v>
      </c>
      <c r="O27">
        <v>3224</v>
      </c>
      <c r="P27">
        <v>1347</v>
      </c>
      <c r="Q27">
        <v>266</v>
      </c>
      <c r="R27">
        <v>9.8921499999999996E-2</v>
      </c>
      <c r="S27">
        <v>1.196733</v>
      </c>
      <c r="T27">
        <v>0.39950429999999998</v>
      </c>
      <c r="U27">
        <v>0.17408960000000001</v>
      </c>
      <c r="V27">
        <v>0.39028689999999999</v>
      </c>
      <c r="W27">
        <v>0.60971310000000001</v>
      </c>
      <c r="X27">
        <v>8.8900000000000003E-4</v>
      </c>
      <c r="Y27" s="2">
        <f t="shared" si="0"/>
        <v>0.88900000000000001</v>
      </c>
      <c r="Z27">
        <v>82975274</v>
      </c>
      <c r="AA27">
        <v>55330274</v>
      </c>
      <c r="AB27">
        <v>12500</v>
      </c>
      <c r="AC27">
        <v>1.5</v>
      </c>
      <c r="AD27">
        <v>0.64</v>
      </c>
      <c r="AE27">
        <v>0.77</v>
      </c>
      <c r="AF27">
        <v>0</v>
      </c>
      <c r="AG27">
        <v>25308.25</v>
      </c>
      <c r="AH27">
        <v>255324.3</v>
      </c>
      <c r="AI27">
        <v>0</v>
      </c>
      <c r="AJ27">
        <v>280632</v>
      </c>
      <c r="AK27">
        <v>59</v>
      </c>
      <c r="AL27">
        <v>5</v>
      </c>
      <c r="AM27">
        <v>0</v>
      </c>
      <c r="AN27">
        <v>8</v>
      </c>
      <c r="AO27">
        <v>112</v>
      </c>
      <c r="AP27">
        <v>1434</v>
      </c>
      <c r="AQ27">
        <v>3</v>
      </c>
      <c r="AR27">
        <v>1</v>
      </c>
      <c r="AS27">
        <v>54</v>
      </c>
      <c r="AT27">
        <v>0</v>
      </c>
      <c r="AU27">
        <v>0</v>
      </c>
      <c r="AV27">
        <v>4155</v>
      </c>
      <c r="AW27">
        <v>21153</v>
      </c>
      <c r="AX27">
        <v>242157</v>
      </c>
      <c r="AY27">
        <v>192</v>
      </c>
      <c r="AZ27">
        <v>261</v>
      </c>
      <c r="BA27">
        <v>12714</v>
      </c>
      <c r="BB27">
        <v>0</v>
      </c>
      <c r="BC27">
        <v>494635</v>
      </c>
      <c r="BD27">
        <v>126</v>
      </c>
      <c r="BE27">
        <v>503188</v>
      </c>
      <c r="BF27">
        <v>40</v>
      </c>
      <c r="BG27">
        <v>242505</v>
      </c>
      <c r="BH27">
        <v>10130</v>
      </c>
      <c r="BI27">
        <v>23.93929</v>
      </c>
      <c r="BJ27">
        <v>26.11281</v>
      </c>
      <c r="BK27">
        <v>26.11281</v>
      </c>
      <c r="BL27">
        <v>26.11281</v>
      </c>
      <c r="BM27">
        <v>455587.2</v>
      </c>
      <c r="BN27">
        <v>4966951</v>
      </c>
      <c r="BO27">
        <v>526.65380000000005</v>
      </c>
      <c r="BP27">
        <v>58.982149999999997</v>
      </c>
      <c r="BQ27">
        <v>0.18724489999999999</v>
      </c>
      <c r="BR27">
        <v>8.9290369999999992</v>
      </c>
      <c r="BS27">
        <v>212494.5</v>
      </c>
      <c r="BT27">
        <v>105928.3</v>
      </c>
      <c r="BU27">
        <v>87701.95</v>
      </c>
      <c r="BV27" s="1">
        <v>7519000000</v>
      </c>
      <c r="BW27" s="1">
        <v>24070000000</v>
      </c>
      <c r="BX27" s="1">
        <v>2578000000</v>
      </c>
      <c r="BY27" s="1">
        <v>8282000000</v>
      </c>
      <c r="BZ27" s="1">
        <v>2046000000</v>
      </c>
      <c r="CA27" s="1">
        <v>7580000000</v>
      </c>
      <c r="CB27">
        <v>369593</v>
      </c>
      <c r="CC27">
        <v>1183291</v>
      </c>
      <c r="CD27">
        <v>240894</v>
      </c>
      <c r="CE27">
        <v>773967</v>
      </c>
      <c r="CF27">
        <v>244516</v>
      </c>
      <c r="CG27">
        <v>905789</v>
      </c>
      <c r="CH27">
        <v>3</v>
      </c>
      <c r="CI27">
        <v>402</v>
      </c>
      <c r="CJ27">
        <v>478480</v>
      </c>
      <c r="CK27">
        <v>4980091</v>
      </c>
      <c r="CL27">
        <v>816</v>
      </c>
      <c r="CM27">
        <v>492625</v>
      </c>
      <c r="CN27">
        <v>4977029</v>
      </c>
      <c r="CO27">
        <v>26395.87</v>
      </c>
      <c r="CP27">
        <v>38384.480000000003</v>
      </c>
      <c r="CQ27">
        <v>26.395869999999999</v>
      </c>
      <c r="CR27">
        <v>38.384480000000003</v>
      </c>
      <c r="CS27">
        <f t="shared" si="1"/>
        <v>603.44469190794359</v>
      </c>
    </row>
    <row r="28" spans="1:97">
      <c r="A28" t="s">
        <v>195</v>
      </c>
      <c r="B28" t="s">
        <v>258</v>
      </c>
      <c r="C28" t="s">
        <v>195</v>
      </c>
      <c r="D28">
        <v>17449</v>
      </c>
      <c r="E28">
        <v>467</v>
      </c>
      <c r="F28">
        <v>238.4324</v>
      </c>
      <c r="G28">
        <v>10690</v>
      </c>
      <c r="H28">
        <v>286.3451</v>
      </c>
      <c r="I28">
        <v>60325</v>
      </c>
      <c r="J28">
        <v>0.89</v>
      </c>
      <c r="K28">
        <v>1185</v>
      </c>
      <c r="L28">
        <v>991</v>
      </c>
      <c r="M28">
        <v>998</v>
      </c>
      <c r="N28">
        <v>804</v>
      </c>
      <c r="O28">
        <v>1996</v>
      </c>
      <c r="P28">
        <v>804</v>
      </c>
      <c r="Q28">
        <v>195</v>
      </c>
      <c r="R28">
        <v>0.1216469</v>
      </c>
      <c r="S28">
        <v>1.2412939999999999</v>
      </c>
      <c r="T28">
        <v>0.41479640000000001</v>
      </c>
      <c r="U28">
        <v>0.1802262</v>
      </c>
      <c r="V28">
        <v>0.33834209999999998</v>
      </c>
      <c r="W28">
        <v>0.66165790000000002</v>
      </c>
      <c r="X28">
        <v>1.5460000000000001E-3</v>
      </c>
      <c r="Y28" s="2">
        <f t="shared" si="0"/>
        <v>1.546</v>
      </c>
      <c r="Z28">
        <v>53543439</v>
      </c>
      <c r="AA28">
        <v>37166290</v>
      </c>
      <c r="AB28">
        <v>12500</v>
      </c>
      <c r="AC28">
        <v>1.44</v>
      </c>
      <c r="AD28">
        <v>0.49</v>
      </c>
      <c r="AE28">
        <v>0.63</v>
      </c>
      <c r="AF28">
        <v>0</v>
      </c>
      <c r="AG28">
        <v>12060.63</v>
      </c>
      <c r="AH28">
        <v>167805.2</v>
      </c>
      <c r="AI28">
        <v>0</v>
      </c>
      <c r="AJ28">
        <v>179866</v>
      </c>
      <c r="AK28">
        <v>37</v>
      </c>
      <c r="AL28">
        <v>5</v>
      </c>
      <c r="AM28">
        <v>0</v>
      </c>
      <c r="AN28">
        <v>15</v>
      </c>
      <c r="AO28">
        <v>17</v>
      </c>
      <c r="AP28">
        <v>926</v>
      </c>
      <c r="AQ28">
        <v>2</v>
      </c>
      <c r="AR28">
        <v>0</v>
      </c>
      <c r="AS28">
        <v>38</v>
      </c>
      <c r="AT28">
        <v>0</v>
      </c>
      <c r="AU28">
        <v>0</v>
      </c>
      <c r="AV28">
        <v>4503</v>
      </c>
      <c r="AW28">
        <v>7558</v>
      </c>
      <c r="AX28">
        <v>162056</v>
      </c>
      <c r="AY28">
        <v>456</v>
      </c>
      <c r="AZ28">
        <v>0</v>
      </c>
      <c r="BA28">
        <v>5293</v>
      </c>
      <c r="BB28">
        <v>0</v>
      </c>
      <c r="BC28">
        <v>264958</v>
      </c>
      <c r="BD28">
        <v>88</v>
      </c>
      <c r="BE28">
        <v>341082</v>
      </c>
      <c r="BF28">
        <v>31</v>
      </c>
      <c r="BG28">
        <v>214830</v>
      </c>
      <c r="BH28">
        <v>8822</v>
      </c>
      <c r="BI28">
        <v>24.35162</v>
      </c>
      <c r="BJ28">
        <v>26.123740000000002</v>
      </c>
      <c r="BK28">
        <v>26.123740000000002</v>
      </c>
      <c r="BL28">
        <v>26.123740000000002</v>
      </c>
      <c r="BM28">
        <v>452238.9</v>
      </c>
      <c r="BN28">
        <v>4963204</v>
      </c>
      <c r="BO28">
        <v>401.83670000000001</v>
      </c>
      <c r="BP28">
        <v>37.332569999999997</v>
      </c>
      <c r="BQ28">
        <v>0.1212097</v>
      </c>
      <c r="BR28">
        <v>10.7637</v>
      </c>
      <c r="BS28">
        <v>312627.20000000001</v>
      </c>
      <c r="BT28">
        <v>158060.5</v>
      </c>
      <c r="BU28">
        <v>191528.7</v>
      </c>
      <c r="BV28" s="1">
        <v>4821000000</v>
      </c>
      <c r="BW28" s="1">
        <v>14290000000</v>
      </c>
      <c r="BX28" s="1">
        <v>1689000000</v>
      </c>
      <c r="BY28" s="1">
        <v>5803000000</v>
      </c>
      <c r="BZ28" s="1">
        <v>1053000000</v>
      </c>
      <c r="CA28" s="1">
        <v>5390000000</v>
      </c>
      <c r="CB28">
        <v>272401</v>
      </c>
      <c r="CC28">
        <v>807495</v>
      </c>
      <c r="CD28">
        <v>180745</v>
      </c>
      <c r="CE28">
        <v>620949</v>
      </c>
      <c r="CF28">
        <v>100071</v>
      </c>
      <c r="CG28">
        <v>512491</v>
      </c>
      <c r="CH28">
        <v>3</v>
      </c>
      <c r="CI28">
        <v>402</v>
      </c>
      <c r="CJ28">
        <v>478480</v>
      </c>
      <c r="CK28">
        <v>4980091</v>
      </c>
      <c r="CL28">
        <v>816</v>
      </c>
      <c r="CM28">
        <v>492625</v>
      </c>
      <c r="CN28">
        <v>4977029</v>
      </c>
      <c r="CO28">
        <v>31205.19</v>
      </c>
      <c r="CP28">
        <v>42686.82</v>
      </c>
      <c r="CQ28">
        <v>31.205190000000002</v>
      </c>
      <c r="CR28">
        <v>42.686819999999997</v>
      </c>
      <c r="CS28">
        <f t="shared" si="1"/>
        <v>672.78482587064673</v>
      </c>
    </row>
    <row r="29" spans="1:97">
      <c r="A29" t="s">
        <v>196</v>
      </c>
      <c r="B29" t="s">
        <v>160</v>
      </c>
      <c r="C29" t="s">
        <v>196</v>
      </c>
      <c r="D29">
        <v>4663</v>
      </c>
      <c r="E29">
        <v>928</v>
      </c>
      <c r="F29">
        <v>501.8</v>
      </c>
      <c r="G29">
        <v>2026</v>
      </c>
      <c r="H29">
        <v>403.38330000000002</v>
      </c>
      <c r="I29">
        <v>60469</v>
      </c>
      <c r="J29">
        <v>0.86</v>
      </c>
      <c r="K29">
        <v>203</v>
      </c>
      <c r="L29">
        <v>156</v>
      </c>
      <c r="M29">
        <v>177</v>
      </c>
      <c r="N29">
        <v>130</v>
      </c>
      <c r="O29">
        <v>354</v>
      </c>
      <c r="P29">
        <v>130</v>
      </c>
      <c r="Q29">
        <v>48</v>
      </c>
      <c r="R29">
        <v>0.18823529999999999</v>
      </c>
      <c r="S29">
        <v>1.3615379999999999</v>
      </c>
      <c r="T29">
        <v>0.4609375</v>
      </c>
      <c r="U29">
        <v>0.19466839999999999</v>
      </c>
      <c r="V29">
        <v>0.15867590000000001</v>
      </c>
      <c r="W29">
        <v>0.84132410000000002</v>
      </c>
      <c r="X29">
        <v>1.0555E-2</v>
      </c>
      <c r="Y29" s="2">
        <f t="shared" si="0"/>
        <v>10.555</v>
      </c>
      <c r="Z29">
        <v>18240635</v>
      </c>
      <c r="AA29">
        <v>12158725</v>
      </c>
      <c r="AB29">
        <v>11914</v>
      </c>
      <c r="AC29">
        <v>1.5</v>
      </c>
      <c r="AD29">
        <v>0</v>
      </c>
      <c r="AE29">
        <v>0</v>
      </c>
      <c r="AF29">
        <v>0</v>
      </c>
      <c r="AG29">
        <v>0</v>
      </c>
      <c r="AH29">
        <v>34456.300000000003</v>
      </c>
      <c r="AI29">
        <v>0</v>
      </c>
      <c r="AJ29">
        <v>34456</v>
      </c>
      <c r="AK29">
        <v>5</v>
      </c>
      <c r="AL29">
        <v>7</v>
      </c>
      <c r="AM29">
        <v>0</v>
      </c>
      <c r="AN29">
        <v>0</v>
      </c>
      <c r="AO29">
        <v>0</v>
      </c>
      <c r="AP29">
        <v>177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34456</v>
      </c>
      <c r="AY29">
        <v>0</v>
      </c>
      <c r="AZ29">
        <v>0</v>
      </c>
      <c r="BA29">
        <v>0</v>
      </c>
      <c r="BB29">
        <v>0</v>
      </c>
      <c r="BC29">
        <v>39771</v>
      </c>
      <c r="BD29">
        <v>21</v>
      </c>
      <c r="BE29">
        <v>40383</v>
      </c>
      <c r="BF29">
        <v>14</v>
      </c>
      <c r="BG29">
        <v>68985</v>
      </c>
      <c r="BH29">
        <v>2509</v>
      </c>
      <c r="BI29">
        <v>27.49502</v>
      </c>
      <c r="BJ29">
        <v>24.977209999999999</v>
      </c>
      <c r="BK29">
        <v>24.977209999999999</v>
      </c>
      <c r="BL29">
        <v>24.977209999999999</v>
      </c>
      <c r="BM29">
        <v>488167.9</v>
      </c>
      <c r="BN29">
        <v>4998617</v>
      </c>
      <c r="BO29">
        <v>87.849279999999993</v>
      </c>
      <c r="BP29">
        <v>5.0225179999999998</v>
      </c>
      <c r="BQ29">
        <v>7.8476799999999999E-2</v>
      </c>
      <c r="BR29">
        <v>17.49108</v>
      </c>
      <c r="BS29">
        <v>523498.8</v>
      </c>
      <c r="BT29">
        <v>281676.79999999999</v>
      </c>
      <c r="BU29">
        <v>227452</v>
      </c>
      <c r="BV29" s="1">
        <v>1898000000</v>
      </c>
      <c r="BW29" s="1">
        <v>5027000000</v>
      </c>
      <c r="BX29" s="1">
        <v>673000000</v>
      </c>
      <c r="BY29" s="1">
        <v>1565000000</v>
      </c>
      <c r="BZ29" s="1">
        <v>420000000</v>
      </c>
      <c r="CA29" s="1">
        <v>1260000000</v>
      </c>
      <c r="CB29">
        <v>679672</v>
      </c>
      <c r="CC29">
        <v>1800567</v>
      </c>
      <c r="CD29">
        <v>453963</v>
      </c>
      <c r="CE29">
        <v>1055839</v>
      </c>
      <c r="CF29">
        <v>367764</v>
      </c>
      <c r="CG29">
        <v>1104141</v>
      </c>
      <c r="CH29">
        <v>3</v>
      </c>
      <c r="CI29">
        <v>402</v>
      </c>
      <c r="CJ29">
        <v>478480</v>
      </c>
      <c r="CK29">
        <v>4980091</v>
      </c>
      <c r="CL29">
        <v>816</v>
      </c>
      <c r="CM29">
        <v>492625</v>
      </c>
      <c r="CN29">
        <v>4977029</v>
      </c>
      <c r="CO29">
        <v>20906.189999999999</v>
      </c>
      <c r="CP29">
        <v>22043.3</v>
      </c>
      <c r="CQ29">
        <v>20.906189999999999</v>
      </c>
      <c r="CR29">
        <v>22.043299999999999</v>
      </c>
      <c r="CS29">
        <f t="shared" si="1"/>
        <v>502.16923076923075</v>
      </c>
    </row>
    <row r="30" spans="1:97">
      <c r="A30" t="s">
        <v>197</v>
      </c>
      <c r="B30" t="s">
        <v>163</v>
      </c>
      <c r="C30" t="s">
        <v>197</v>
      </c>
      <c r="D30">
        <v>163</v>
      </c>
      <c r="E30">
        <v>45</v>
      </c>
      <c r="F30">
        <v>22.5</v>
      </c>
      <c r="G30">
        <v>230</v>
      </c>
      <c r="H30">
        <v>63.911679999999997</v>
      </c>
      <c r="I30">
        <v>48958</v>
      </c>
      <c r="J30">
        <v>0.72</v>
      </c>
      <c r="K30">
        <v>22</v>
      </c>
      <c r="L30">
        <v>20</v>
      </c>
      <c r="M30">
        <v>15</v>
      </c>
      <c r="N30">
        <v>13</v>
      </c>
      <c r="O30">
        <v>30</v>
      </c>
      <c r="P30">
        <v>13</v>
      </c>
      <c r="Q30">
        <v>3</v>
      </c>
      <c r="R30">
        <v>0.14285709999999999</v>
      </c>
      <c r="S30">
        <v>1.1538459999999999</v>
      </c>
      <c r="T30">
        <v>0.45454549999999999</v>
      </c>
      <c r="U30">
        <v>0.50882470000000002</v>
      </c>
      <c r="V30">
        <v>0.62487269999999995</v>
      </c>
      <c r="W30">
        <v>0.3751273</v>
      </c>
      <c r="X30">
        <v>9.6154000000000003E-2</v>
      </c>
      <c r="Y30" s="2">
        <f t="shared" si="0"/>
        <v>96.153999999999996</v>
      </c>
      <c r="Z30">
        <v>11880513</v>
      </c>
      <c r="AA30">
        <v>9589604</v>
      </c>
      <c r="AB30">
        <v>12500</v>
      </c>
      <c r="AC30">
        <v>1.24</v>
      </c>
      <c r="AD30">
        <v>0.84</v>
      </c>
      <c r="AE30">
        <v>0.87</v>
      </c>
      <c r="AF30">
        <v>0</v>
      </c>
      <c r="AG30">
        <v>2249.8000000000002</v>
      </c>
      <c r="AH30">
        <v>5382.57</v>
      </c>
      <c r="AI30">
        <v>0</v>
      </c>
      <c r="AJ30">
        <v>7632</v>
      </c>
      <c r="AK30">
        <v>4</v>
      </c>
      <c r="AL30">
        <v>2</v>
      </c>
      <c r="AM30">
        <v>0</v>
      </c>
      <c r="AN30">
        <v>4</v>
      </c>
      <c r="AO30">
        <v>0</v>
      </c>
      <c r="AP30">
        <v>11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2250</v>
      </c>
      <c r="AW30">
        <v>0</v>
      </c>
      <c r="AX30">
        <v>5383</v>
      </c>
      <c r="AY30">
        <v>0</v>
      </c>
      <c r="AZ30">
        <v>0</v>
      </c>
      <c r="BA30">
        <v>0</v>
      </c>
      <c r="BB30">
        <v>0</v>
      </c>
      <c r="BC30">
        <v>40070</v>
      </c>
      <c r="BD30">
        <v>4</v>
      </c>
      <c r="BE30">
        <v>40727</v>
      </c>
      <c r="BF30">
        <v>402</v>
      </c>
      <c r="BG30">
        <v>3440</v>
      </c>
      <c r="BH30">
        <v>90</v>
      </c>
      <c r="BI30">
        <v>38.22222</v>
      </c>
      <c r="BJ30">
        <v>32.063510000000001</v>
      </c>
      <c r="BK30">
        <v>32.063510000000001</v>
      </c>
      <c r="BL30">
        <v>32.063510000000001</v>
      </c>
      <c r="BM30">
        <v>497456.5</v>
      </c>
      <c r="BN30">
        <v>4951409</v>
      </c>
      <c r="BO30">
        <v>27.254840000000002</v>
      </c>
      <c r="BP30">
        <v>3.598716</v>
      </c>
      <c r="BQ30">
        <v>0.29989300000000002</v>
      </c>
      <c r="BR30">
        <v>7.5734909999999998</v>
      </c>
      <c r="BS30">
        <v>61713.58</v>
      </c>
      <c r="BT30">
        <v>34074.980000000003</v>
      </c>
      <c r="BU30">
        <v>87080.51</v>
      </c>
      <c r="CH30">
        <v>1</v>
      </c>
      <c r="CI30">
        <v>402</v>
      </c>
      <c r="CJ30">
        <v>478480</v>
      </c>
      <c r="CK30">
        <v>4980091</v>
      </c>
      <c r="CL30">
        <v>816</v>
      </c>
      <c r="CM30">
        <v>492625</v>
      </c>
      <c r="CN30">
        <v>4977029</v>
      </c>
      <c r="CO30">
        <v>34391.35</v>
      </c>
      <c r="CP30">
        <v>26071.59</v>
      </c>
      <c r="CQ30">
        <v>34.391350000000003</v>
      </c>
      <c r="CR30">
        <v>26.07159</v>
      </c>
      <c r="CS30">
        <f t="shared" si="1"/>
        <v>5040.4615384615381</v>
      </c>
    </row>
    <row r="31" spans="1:97">
      <c r="A31" t="s">
        <v>198</v>
      </c>
      <c r="B31" t="s">
        <v>258</v>
      </c>
      <c r="C31" t="s">
        <v>198</v>
      </c>
      <c r="D31">
        <v>1012</v>
      </c>
      <c r="E31">
        <v>457</v>
      </c>
      <c r="F31">
        <v>273</v>
      </c>
      <c r="G31">
        <v>291</v>
      </c>
      <c r="H31">
        <v>131.29259999999999</v>
      </c>
      <c r="I31">
        <v>54583</v>
      </c>
      <c r="J31">
        <v>0.88</v>
      </c>
      <c r="K31">
        <v>133</v>
      </c>
      <c r="L31">
        <v>110</v>
      </c>
      <c r="M31">
        <v>113</v>
      </c>
      <c r="N31">
        <v>90</v>
      </c>
      <c r="O31">
        <v>226</v>
      </c>
      <c r="P31">
        <v>90</v>
      </c>
      <c r="Q31">
        <v>24</v>
      </c>
      <c r="R31">
        <v>0.13714290000000001</v>
      </c>
      <c r="S31">
        <v>1.2555559999999999</v>
      </c>
      <c r="T31">
        <v>0.42803029999999997</v>
      </c>
      <c r="U31">
        <v>0.13944709999999999</v>
      </c>
      <c r="V31">
        <v>0.33138079999999998</v>
      </c>
      <c r="W31">
        <v>0.66861919999999997</v>
      </c>
      <c r="X31">
        <v>1.4107E-2</v>
      </c>
      <c r="Y31" s="2">
        <f t="shared" si="0"/>
        <v>14.106999999999999</v>
      </c>
      <c r="Z31">
        <v>13843170</v>
      </c>
      <c r="AA31">
        <v>9844052</v>
      </c>
      <c r="AB31">
        <v>12202</v>
      </c>
      <c r="AC31">
        <v>1.41</v>
      </c>
      <c r="AD31">
        <v>0.4</v>
      </c>
      <c r="AE31">
        <v>0.61</v>
      </c>
      <c r="AF31">
        <v>0</v>
      </c>
      <c r="AG31">
        <v>841.77</v>
      </c>
      <c r="AH31">
        <v>14915.75</v>
      </c>
      <c r="AI31">
        <v>0</v>
      </c>
      <c r="AJ31">
        <v>15758</v>
      </c>
      <c r="AK31">
        <v>2</v>
      </c>
      <c r="AL31">
        <v>7</v>
      </c>
      <c r="AM31">
        <v>0</v>
      </c>
      <c r="AN31">
        <v>4</v>
      </c>
      <c r="AO31">
        <v>0</v>
      </c>
      <c r="AP31">
        <v>106</v>
      </c>
      <c r="AQ31">
        <v>0</v>
      </c>
      <c r="AR31">
        <v>0</v>
      </c>
      <c r="AS31">
        <v>3</v>
      </c>
      <c r="AT31">
        <v>0</v>
      </c>
      <c r="AU31">
        <v>0</v>
      </c>
      <c r="AV31">
        <v>842</v>
      </c>
      <c r="AW31">
        <v>0</v>
      </c>
      <c r="AX31">
        <v>14033</v>
      </c>
      <c r="AY31">
        <v>0</v>
      </c>
      <c r="AZ31">
        <v>0</v>
      </c>
      <c r="BA31">
        <v>883</v>
      </c>
      <c r="BB31">
        <v>0</v>
      </c>
      <c r="BC31">
        <v>11555</v>
      </c>
      <c r="BD31">
        <v>7</v>
      </c>
      <c r="BE31">
        <v>11174</v>
      </c>
      <c r="BF31">
        <v>18</v>
      </c>
      <c r="BG31">
        <v>14720</v>
      </c>
      <c r="BH31">
        <v>546</v>
      </c>
      <c r="BI31">
        <v>26.959710000000001</v>
      </c>
      <c r="BJ31">
        <v>29.063610000000001</v>
      </c>
      <c r="BK31">
        <v>29.063610000000001</v>
      </c>
      <c r="BL31">
        <v>29.063610000000001</v>
      </c>
      <c r="BM31">
        <v>437802.5</v>
      </c>
      <c r="BN31">
        <v>4958075</v>
      </c>
      <c r="BO31">
        <v>47.65025</v>
      </c>
      <c r="BP31">
        <v>2.2164239999999999</v>
      </c>
      <c r="BQ31">
        <v>3.8214199999999997E-2</v>
      </c>
      <c r="BR31">
        <v>21.498709999999999</v>
      </c>
      <c r="BS31">
        <v>396726.5</v>
      </c>
      <c r="BT31">
        <v>214044.1</v>
      </c>
      <c r="BU31">
        <v>114078.5</v>
      </c>
      <c r="CH31">
        <v>1</v>
      </c>
      <c r="CI31">
        <v>402</v>
      </c>
      <c r="CJ31">
        <v>478480</v>
      </c>
      <c r="CK31">
        <v>4980091</v>
      </c>
      <c r="CL31">
        <v>816</v>
      </c>
      <c r="CM31">
        <v>492625</v>
      </c>
      <c r="CN31">
        <v>4977029</v>
      </c>
      <c r="CO31">
        <v>46253.25</v>
      </c>
      <c r="CP31">
        <v>58006.559999999998</v>
      </c>
      <c r="CQ31">
        <v>46.253250000000001</v>
      </c>
      <c r="CR31">
        <v>58.00656</v>
      </c>
      <c r="CS31">
        <f t="shared" si="1"/>
        <v>202.4</v>
      </c>
    </row>
    <row r="32" spans="1:97">
      <c r="A32" t="s">
        <v>10</v>
      </c>
      <c r="B32" t="s">
        <v>160</v>
      </c>
      <c r="C32" t="s">
        <v>10</v>
      </c>
      <c r="D32">
        <v>18520</v>
      </c>
      <c r="E32">
        <v>2038</v>
      </c>
      <c r="F32">
        <v>1025.222</v>
      </c>
      <c r="G32">
        <v>6345</v>
      </c>
      <c r="H32">
        <v>698.21749999999997</v>
      </c>
      <c r="I32">
        <v>40562</v>
      </c>
      <c r="J32">
        <v>0.83</v>
      </c>
      <c r="K32">
        <v>817</v>
      </c>
      <c r="L32">
        <v>521</v>
      </c>
      <c r="M32">
        <v>766</v>
      </c>
      <c r="N32">
        <v>470</v>
      </c>
      <c r="O32">
        <v>1532</v>
      </c>
      <c r="P32">
        <v>470</v>
      </c>
      <c r="Q32">
        <v>297</v>
      </c>
      <c r="R32">
        <v>0.31764710000000002</v>
      </c>
      <c r="S32">
        <v>1.6297870000000001</v>
      </c>
      <c r="T32">
        <v>0.54558399999999996</v>
      </c>
      <c r="U32">
        <v>0.15157090000000001</v>
      </c>
      <c r="V32">
        <v>5.4062699999999998E-2</v>
      </c>
      <c r="W32">
        <v>0.94593729999999998</v>
      </c>
      <c r="X32">
        <v>3.4749999999999998E-3</v>
      </c>
      <c r="Y32" s="2">
        <f t="shared" si="0"/>
        <v>3.4749999999999996</v>
      </c>
      <c r="Z32">
        <v>25788447</v>
      </c>
      <c r="AA32">
        <v>19859955</v>
      </c>
      <c r="AB32">
        <v>12500</v>
      </c>
      <c r="AC32">
        <v>1.3</v>
      </c>
      <c r="AD32">
        <v>0.17</v>
      </c>
      <c r="AE32">
        <v>0.23</v>
      </c>
      <c r="AF32">
        <v>0</v>
      </c>
      <c r="AG32">
        <v>4445.3500000000004</v>
      </c>
      <c r="AH32">
        <v>111658</v>
      </c>
      <c r="AI32">
        <v>0</v>
      </c>
      <c r="AJ32">
        <v>116103</v>
      </c>
      <c r="AK32">
        <v>9</v>
      </c>
      <c r="AL32">
        <v>13</v>
      </c>
      <c r="AM32">
        <v>0</v>
      </c>
      <c r="AN32">
        <v>20</v>
      </c>
      <c r="AO32">
        <v>0</v>
      </c>
      <c r="AP32">
        <v>746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4445</v>
      </c>
      <c r="AW32">
        <v>0</v>
      </c>
      <c r="AX32">
        <v>111658</v>
      </c>
      <c r="AY32">
        <v>0</v>
      </c>
      <c r="AZ32">
        <v>0</v>
      </c>
      <c r="BA32">
        <v>0</v>
      </c>
      <c r="BB32">
        <v>0</v>
      </c>
      <c r="BC32">
        <v>159549</v>
      </c>
      <c r="BD32">
        <v>67</v>
      </c>
      <c r="BE32">
        <v>155363</v>
      </c>
      <c r="BF32">
        <v>14</v>
      </c>
      <c r="BG32">
        <v>192355</v>
      </c>
      <c r="BH32">
        <v>9227</v>
      </c>
      <c r="BI32">
        <v>20.846969999999999</v>
      </c>
      <c r="BJ32">
        <v>26.356449999999999</v>
      </c>
      <c r="BK32">
        <v>26.356449999999999</v>
      </c>
      <c r="BL32">
        <v>26.356449999999999</v>
      </c>
      <c r="BM32">
        <v>480530.5</v>
      </c>
      <c r="BN32">
        <v>4988360</v>
      </c>
      <c r="BO32">
        <v>212.9906</v>
      </c>
      <c r="BP32">
        <v>9.0874249999999996</v>
      </c>
      <c r="BQ32">
        <v>3.3409700000000001E-2</v>
      </c>
      <c r="BR32">
        <v>23.437940000000001</v>
      </c>
      <c r="BS32">
        <v>1707921</v>
      </c>
      <c r="BT32">
        <v>850917.4</v>
      </c>
      <c r="BU32">
        <v>585138.30000000005</v>
      </c>
      <c r="BV32" s="1">
        <v>24310000000</v>
      </c>
      <c r="BW32" s="1">
        <v>43880000000</v>
      </c>
      <c r="BX32" s="1">
        <v>6982000000</v>
      </c>
      <c r="BY32" s="1">
        <v>12250000000</v>
      </c>
      <c r="BZ32" s="1">
        <v>7052000000</v>
      </c>
      <c r="CA32" s="1">
        <v>12400000000</v>
      </c>
      <c r="CB32">
        <v>1245086</v>
      </c>
      <c r="CC32">
        <v>2246833</v>
      </c>
      <c r="CD32">
        <v>705463</v>
      </c>
      <c r="CE32">
        <v>1237467</v>
      </c>
      <c r="CF32">
        <v>882217</v>
      </c>
      <c r="CG32">
        <v>1553146</v>
      </c>
      <c r="CH32">
        <v>3</v>
      </c>
      <c r="CI32">
        <v>402</v>
      </c>
      <c r="CJ32">
        <v>478480</v>
      </c>
      <c r="CK32">
        <v>4980091</v>
      </c>
      <c r="CL32">
        <v>816</v>
      </c>
      <c r="CM32">
        <v>492625</v>
      </c>
      <c r="CN32">
        <v>4977029</v>
      </c>
      <c r="CO32">
        <v>8519.4359999999997</v>
      </c>
      <c r="CP32">
        <v>16573.150000000001</v>
      </c>
      <c r="CQ32">
        <v>8.5194360000000007</v>
      </c>
      <c r="CR32">
        <v>16.573149999999998</v>
      </c>
      <c r="CS32">
        <f t="shared" si="1"/>
        <v>551.65957446808511</v>
      </c>
    </row>
    <row r="33" spans="1:97">
      <c r="A33" t="s">
        <v>11</v>
      </c>
      <c r="B33" t="s">
        <v>160</v>
      </c>
      <c r="C33" t="s">
        <v>11</v>
      </c>
      <c r="D33">
        <v>61607</v>
      </c>
      <c r="E33">
        <v>1018</v>
      </c>
      <c r="F33">
        <v>544.39340000000004</v>
      </c>
      <c r="G33">
        <v>21496</v>
      </c>
      <c r="H33">
        <v>355.08780000000002</v>
      </c>
      <c r="I33">
        <v>55550</v>
      </c>
      <c r="J33">
        <v>0.88</v>
      </c>
      <c r="K33">
        <v>2881</v>
      </c>
      <c r="L33">
        <v>2254</v>
      </c>
      <c r="M33">
        <v>2483</v>
      </c>
      <c r="N33">
        <v>1856</v>
      </c>
      <c r="O33">
        <v>4966</v>
      </c>
      <c r="P33">
        <v>1856</v>
      </c>
      <c r="Q33">
        <v>628</v>
      </c>
      <c r="R33">
        <v>0.16940920000000001</v>
      </c>
      <c r="S33">
        <v>1.337823</v>
      </c>
      <c r="T33">
        <v>0.44642219999999999</v>
      </c>
      <c r="U33">
        <v>0.1789792</v>
      </c>
      <c r="V33">
        <v>0.14087150000000001</v>
      </c>
      <c r="W33">
        <v>0.85912849999999996</v>
      </c>
      <c r="X33">
        <v>7.2099999999999996E-4</v>
      </c>
      <c r="Y33" s="2">
        <f t="shared" si="0"/>
        <v>0.72099999999999997</v>
      </c>
      <c r="Z33">
        <v>66264017</v>
      </c>
      <c r="AA33">
        <v>51655856</v>
      </c>
      <c r="AB33">
        <v>12500</v>
      </c>
      <c r="AC33">
        <v>1.28</v>
      </c>
      <c r="AD33">
        <v>0.3</v>
      </c>
      <c r="AE33">
        <v>0.42</v>
      </c>
      <c r="AF33">
        <v>0.03</v>
      </c>
      <c r="AG33">
        <v>17783.79</v>
      </c>
      <c r="AH33">
        <v>426621.7</v>
      </c>
      <c r="AI33">
        <v>112</v>
      </c>
      <c r="AJ33">
        <v>444405</v>
      </c>
      <c r="AK33">
        <v>61</v>
      </c>
      <c r="AL33">
        <v>7</v>
      </c>
      <c r="AM33">
        <v>1</v>
      </c>
      <c r="AN33">
        <v>32</v>
      </c>
      <c r="AO33">
        <v>12</v>
      </c>
      <c r="AP33">
        <v>2393</v>
      </c>
      <c r="AQ33">
        <v>0</v>
      </c>
      <c r="AR33">
        <v>29</v>
      </c>
      <c r="AS33">
        <v>16</v>
      </c>
      <c r="AT33">
        <v>0</v>
      </c>
      <c r="AU33">
        <v>112</v>
      </c>
      <c r="AV33">
        <v>12911</v>
      </c>
      <c r="AW33">
        <v>4761</v>
      </c>
      <c r="AX33">
        <v>418849</v>
      </c>
      <c r="AY33">
        <v>0</v>
      </c>
      <c r="AZ33">
        <v>6183</v>
      </c>
      <c r="BA33">
        <v>1589</v>
      </c>
      <c r="BB33">
        <v>0</v>
      </c>
      <c r="BC33">
        <v>1413422</v>
      </c>
      <c r="BD33">
        <v>245</v>
      </c>
      <c r="BE33">
        <v>1420743</v>
      </c>
      <c r="BF33">
        <v>37</v>
      </c>
      <c r="BG33">
        <v>866490</v>
      </c>
      <c r="BH33">
        <v>33208</v>
      </c>
      <c r="BI33">
        <v>26.09281</v>
      </c>
      <c r="BJ33">
        <v>26.380929999999999</v>
      </c>
      <c r="BK33">
        <v>26.380929999999999</v>
      </c>
      <c r="BL33">
        <v>26.380929999999999</v>
      </c>
      <c r="BM33">
        <v>475674.9</v>
      </c>
      <c r="BN33">
        <v>5002502</v>
      </c>
      <c r="BO33">
        <v>944.7296</v>
      </c>
      <c r="BP33">
        <v>60.537129999999998</v>
      </c>
      <c r="BQ33">
        <v>7.7911400000000006E-2</v>
      </c>
      <c r="BR33">
        <v>15.605790000000001</v>
      </c>
      <c r="BS33">
        <v>875507.3</v>
      </c>
      <c r="BT33">
        <v>471924.4</v>
      </c>
      <c r="BU33">
        <v>305483.2</v>
      </c>
      <c r="BV33" s="1">
        <v>34180000000</v>
      </c>
      <c r="BW33" s="1">
        <v>93130000000</v>
      </c>
      <c r="BX33" s="1">
        <v>11990000000</v>
      </c>
      <c r="BY33" s="1">
        <v>31300000000</v>
      </c>
      <c r="BZ33" s="1">
        <v>4412000000</v>
      </c>
      <c r="CA33" s="1">
        <v>15600000000</v>
      </c>
      <c r="CB33">
        <v>560855</v>
      </c>
      <c r="CC33">
        <v>1528165</v>
      </c>
      <c r="CD33">
        <v>356354</v>
      </c>
      <c r="CE33">
        <v>930491</v>
      </c>
      <c r="CF33">
        <v>284335</v>
      </c>
      <c r="CG33">
        <v>1002148</v>
      </c>
      <c r="CH33">
        <v>3</v>
      </c>
      <c r="CI33">
        <v>402</v>
      </c>
      <c r="CJ33">
        <v>478480</v>
      </c>
      <c r="CK33">
        <v>4980091</v>
      </c>
      <c r="CL33">
        <v>816</v>
      </c>
      <c r="CM33">
        <v>492625</v>
      </c>
      <c r="CN33">
        <v>4977029</v>
      </c>
      <c r="CO33">
        <v>22585.37</v>
      </c>
      <c r="CP33">
        <v>30596.63</v>
      </c>
      <c r="CQ33">
        <v>22.585370000000001</v>
      </c>
      <c r="CR33">
        <v>30.596630000000001</v>
      </c>
      <c r="CS33">
        <f t="shared" si="1"/>
        <v>1228.1567887931035</v>
      </c>
    </row>
    <row r="34" spans="1:97">
      <c r="A34" t="s">
        <v>12</v>
      </c>
      <c r="B34" t="s">
        <v>182</v>
      </c>
      <c r="C34" t="s">
        <v>12</v>
      </c>
      <c r="D34">
        <v>5630</v>
      </c>
      <c r="E34">
        <v>60</v>
      </c>
      <c r="F34">
        <v>31.634409999999999</v>
      </c>
      <c r="G34">
        <v>1603</v>
      </c>
      <c r="H34">
        <v>17.157309999999999</v>
      </c>
      <c r="I34">
        <v>78984</v>
      </c>
      <c r="J34">
        <v>0.88</v>
      </c>
      <c r="K34">
        <v>442</v>
      </c>
      <c r="L34">
        <v>401</v>
      </c>
      <c r="M34">
        <v>350</v>
      </c>
      <c r="N34">
        <v>309</v>
      </c>
      <c r="O34">
        <v>700</v>
      </c>
      <c r="P34">
        <v>309</v>
      </c>
      <c r="Q34">
        <v>42</v>
      </c>
      <c r="R34">
        <v>6.8515499999999993E-2</v>
      </c>
      <c r="S34">
        <v>1.1326860000000001</v>
      </c>
      <c r="T34">
        <v>0.38002170000000002</v>
      </c>
      <c r="U34">
        <v>0.51911280000000004</v>
      </c>
      <c r="V34">
        <v>0.30023660000000002</v>
      </c>
      <c r="W34">
        <v>0.69976340000000004</v>
      </c>
      <c r="X34">
        <v>3.6779999999999998E-3</v>
      </c>
      <c r="Y34" s="2">
        <f t="shared" si="0"/>
        <v>3.6779999999999999</v>
      </c>
      <c r="Z34">
        <v>86728169</v>
      </c>
      <c r="AA34">
        <v>64735326</v>
      </c>
      <c r="AB34">
        <v>12500</v>
      </c>
      <c r="AC34">
        <v>1.34</v>
      </c>
      <c r="AD34">
        <v>0.13</v>
      </c>
      <c r="AE34">
        <v>0.15</v>
      </c>
      <c r="AF34">
        <v>0</v>
      </c>
      <c r="AG34">
        <v>2681.65</v>
      </c>
      <c r="AH34">
        <v>179007.8</v>
      </c>
      <c r="AI34">
        <v>0</v>
      </c>
      <c r="AJ34">
        <v>181689</v>
      </c>
      <c r="AK34">
        <v>93</v>
      </c>
      <c r="AL34">
        <v>2</v>
      </c>
      <c r="AM34">
        <v>0</v>
      </c>
      <c r="AN34">
        <v>0</v>
      </c>
      <c r="AO34">
        <v>3</v>
      </c>
      <c r="AP34">
        <v>344</v>
      </c>
      <c r="AQ34">
        <v>0</v>
      </c>
      <c r="AR34">
        <v>0</v>
      </c>
      <c r="AS34">
        <v>2</v>
      </c>
      <c r="AT34">
        <v>1</v>
      </c>
      <c r="AU34">
        <v>0</v>
      </c>
      <c r="AV34">
        <v>0</v>
      </c>
      <c r="AW34">
        <v>2682</v>
      </c>
      <c r="AX34">
        <v>178391</v>
      </c>
      <c r="AY34">
        <v>0</v>
      </c>
      <c r="AZ34">
        <v>0</v>
      </c>
      <c r="BA34">
        <v>407</v>
      </c>
      <c r="BB34">
        <v>210</v>
      </c>
      <c r="BC34">
        <v>174705</v>
      </c>
      <c r="BD34">
        <v>93</v>
      </c>
      <c r="BE34">
        <v>175305</v>
      </c>
      <c r="BF34">
        <v>50</v>
      </c>
      <c r="BG34">
        <v>82235</v>
      </c>
      <c r="BH34">
        <v>2942</v>
      </c>
      <c r="BI34">
        <v>27.952069999999999</v>
      </c>
      <c r="BJ34">
        <v>27.272089999999999</v>
      </c>
      <c r="BK34">
        <v>27.272089999999999</v>
      </c>
      <c r="BL34">
        <v>27.272089999999999</v>
      </c>
      <c r="BM34">
        <v>454084.6</v>
      </c>
      <c r="BN34">
        <v>4995211</v>
      </c>
      <c r="BO34">
        <v>426.00130000000001</v>
      </c>
      <c r="BP34">
        <v>93.429569999999998</v>
      </c>
      <c r="BQ34">
        <v>0.67702589999999996</v>
      </c>
      <c r="BR34">
        <v>4.5595980000000003</v>
      </c>
      <c r="BS34">
        <v>50793.82</v>
      </c>
      <c r="BT34">
        <v>26542.71</v>
      </c>
      <c r="BU34">
        <v>14462.25</v>
      </c>
      <c r="BV34" s="1">
        <v>1130000000</v>
      </c>
      <c r="BW34" s="1">
        <v>4787000000</v>
      </c>
      <c r="BX34" s="1">
        <v>366900000</v>
      </c>
      <c r="BY34" s="1">
        <v>1605000000</v>
      </c>
      <c r="BZ34" s="1">
        <v>209500000</v>
      </c>
      <c r="CA34" s="1">
        <v>860000000</v>
      </c>
      <c r="CB34">
        <v>199302</v>
      </c>
      <c r="CC34">
        <v>844003</v>
      </c>
      <c r="CD34">
        <v>117071</v>
      </c>
      <c r="CE34">
        <v>512036</v>
      </c>
      <c r="CF34">
        <v>116921</v>
      </c>
      <c r="CG34">
        <v>479879</v>
      </c>
      <c r="CH34">
        <v>3</v>
      </c>
      <c r="CI34">
        <v>402</v>
      </c>
      <c r="CJ34">
        <v>478480</v>
      </c>
      <c r="CK34">
        <v>4980091</v>
      </c>
      <c r="CL34">
        <v>816</v>
      </c>
      <c r="CM34">
        <v>492625</v>
      </c>
      <c r="CN34">
        <v>4977029</v>
      </c>
      <c r="CO34">
        <v>28700.76</v>
      </c>
      <c r="CP34">
        <v>42613.7</v>
      </c>
      <c r="CQ34">
        <v>28.700759999999999</v>
      </c>
      <c r="CR34">
        <v>42.613700000000001</v>
      </c>
      <c r="CS34">
        <f t="shared" si="1"/>
        <v>911.00323624595467</v>
      </c>
    </row>
    <row r="35" spans="1:97">
      <c r="A35" t="s">
        <v>13</v>
      </c>
      <c r="B35" t="s">
        <v>158</v>
      </c>
      <c r="C35" t="s">
        <v>13</v>
      </c>
      <c r="D35">
        <v>30582</v>
      </c>
      <c r="E35">
        <v>315</v>
      </c>
      <c r="F35">
        <v>166.9588</v>
      </c>
      <c r="G35">
        <v>6062</v>
      </c>
      <c r="H35">
        <v>62.497999999999998</v>
      </c>
      <c r="I35">
        <v>65825</v>
      </c>
      <c r="J35">
        <v>0.89</v>
      </c>
      <c r="K35">
        <v>1281</v>
      </c>
      <c r="L35">
        <v>1000</v>
      </c>
      <c r="M35">
        <v>1173</v>
      </c>
      <c r="N35">
        <v>892</v>
      </c>
      <c r="O35">
        <v>2346</v>
      </c>
      <c r="P35">
        <v>892</v>
      </c>
      <c r="Q35">
        <v>282</v>
      </c>
      <c r="R35">
        <v>0.15851599999999999</v>
      </c>
      <c r="S35">
        <v>1.3150219999999999</v>
      </c>
      <c r="T35">
        <v>0.43932579999999999</v>
      </c>
      <c r="U35">
        <v>0.25129439999999997</v>
      </c>
      <c r="V35">
        <v>0.21957660000000001</v>
      </c>
      <c r="W35">
        <v>0.78042339999999999</v>
      </c>
      <c r="X35">
        <v>1.4760000000000001E-3</v>
      </c>
      <c r="Y35" s="2">
        <f t="shared" si="0"/>
        <v>1.4760000000000002</v>
      </c>
      <c r="Z35">
        <v>76000068</v>
      </c>
      <c r="AA35">
        <v>52792086</v>
      </c>
      <c r="AB35">
        <v>12500</v>
      </c>
      <c r="AC35">
        <v>1.44</v>
      </c>
      <c r="AD35">
        <v>0.4</v>
      </c>
      <c r="AE35">
        <v>0.67</v>
      </c>
      <c r="AF35">
        <v>2.5299999999999998</v>
      </c>
      <c r="AG35">
        <v>22258.45</v>
      </c>
      <c r="AH35">
        <v>272509.90000000002</v>
      </c>
      <c r="AI35">
        <v>7446</v>
      </c>
      <c r="AJ35">
        <v>294768</v>
      </c>
      <c r="AK35">
        <v>97</v>
      </c>
      <c r="AL35">
        <v>3</v>
      </c>
      <c r="AM35">
        <v>7</v>
      </c>
      <c r="AN35">
        <v>11</v>
      </c>
      <c r="AO35">
        <v>5</v>
      </c>
      <c r="AP35">
        <v>1110</v>
      </c>
      <c r="AQ35">
        <v>0</v>
      </c>
      <c r="AR35">
        <v>5</v>
      </c>
      <c r="AS35">
        <v>35</v>
      </c>
      <c r="AT35">
        <v>0</v>
      </c>
      <c r="AU35">
        <v>7446</v>
      </c>
      <c r="AV35">
        <v>5401</v>
      </c>
      <c r="AW35">
        <v>9412</v>
      </c>
      <c r="AX35">
        <v>266255</v>
      </c>
      <c r="AY35">
        <v>0</v>
      </c>
      <c r="AZ35">
        <v>1395</v>
      </c>
      <c r="BA35">
        <v>4859</v>
      </c>
      <c r="BB35">
        <v>0</v>
      </c>
      <c r="BC35">
        <v>503237</v>
      </c>
      <c r="BD35">
        <v>172</v>
      </c>
      <c r="BE35">
        <v>517887</v>
      </c>
      <c r="BF35">
        <v>27</v>
      </c>
      <c r="BG35">
        <v>416760</v>
      </c>
      <c r="BH35">
        <v>16195</v>
      </c>
      <c r="BI35">
        <v>25.73387</v>
      </c>
      <c r="BJ35">
        <v>26.312480000000001</v>
      </c>
      <c r="BK35">
        <v>26.312480000000001</v>
      </c>
      <c r="BL35">
        <v>26.312480000000001</v>
      </c>
      <c r="BM35">
        <v>505741.1</v>
      </c>
      <c r="BN35">
        <v>4962530</v>
      </c>
      <c r="BO35">
        <v>678.21900000000005</v>
      </c>
      <c r="BP35">
        <v>96.995090000000005</v>
      </c>
      <c r="BQ35">
        <v>0.2844431</v>
      </c>
      <c r="BR35">
        <v>6.9923019999999996</v>
      </c>
      <c r="BS35">
        <v>214258.1</v>
      </c>
      <c r="BT35">
        <v>113462.5</v>
      </c>
      <c r="BU35">
        <v>42470.48</v>
      </c>
      <c r="BV35" s="1">
        <v>11780000000</v>
      </c>
      <c r="BW35" s="1">
        <v>42240000000</v>
      </c>
      <c r="BX35" s="1">
        <v>3716000000</v>
      </c>
      <c r="BY35" s="1">
        <v>13570000000</v>
      </c>
      <c r="BZ35" s="1">
        <v>1313000000</v>
      </c>
      <c r="CA35" s="1">
        <v>5400000000</v>
      </c>
      <c r="CB35">
        <v>357205</v>
      </c>
      <c r="CC35">
        <v>1281347</v>
      </c>
      <c r="CD35">
        <v>207361</v>
      </c>
      <c r="CE35">
        <v>757216</v>
      </c>
      <c r="CF35">
        <v>200879</v>
      </c>
      <c r="CG35">
        <v>825914</v>
      </c>
      <c r="CH35">
        <v>3</v>
      </c>
      <c r="CI35">
        <v>402</v>
      </c>
      <c r="CJ35">
        <v>478480</v>
      </c>
      <c r="CK35">
        <v>4980091</v>
      </c>
      <c r="CL35">
        <v>816</v>
      </c>
      <c r="CM35">
        <v>492625</v>
      </c>
      <c r="CN35">
        <v>4977029</v>
      </c>
      <c r="CO35">
        <v>32427.68</v>
      </c>
      <c r="CP35">
        <v>19551.27</v>
      </c>
      <c r="CQ35">
        <v>32.427680000000002</v>
      </c>
      <c r="CR35">
        <v>19.551269999999999</v>
      </c>
      <c r="CS35">
        <f t="shared" si="1"/>
        <v>925.68834080717488</v>
      </c>
    </row>
    <row r="36" spans="1:97">
      <c r="A36" t="s">
        <v>14</v>
      </c>
      <c r="B36" t="s">
        <v>255</v>
      </c>
      <c r="C36" t="s">
        <v>14</v>
      </c>
      <c r="D36">
        <v>3895</v>
      </c>
      <c r="E36">
        <v>63</v>
      </c>
      <c r="F36">
        <v>33.451610000000002</v>
      </c>
      <c r="G36">
        <v>305</v>
      </c>
      <c r="H36">
        <v>4.9408399999999997</v>
      </c>
      <c r="I36">
        <v>78501</v>
      </c>
      <c r="J36">
        <v>0.89</v>
      </c>
      <c r="K36">
        <v>328</v>
      </c>
      <c r="L36">
        <v>280</v>
      </c>
      <c r="M36">
        <v>293</v>
      </c>
      <c r="N36">
        <v>245</v>
      </c>
      <c r="O36">
        <v>586</v>
      </c>
      <c r="P36">
        <v>245</v>
      </c>
      <c r="Q36">
        <v>49</v>
      </c>
      <c r="R36">
        <v>0.10103090000000001</v>
      </c>
      <c r="S36">
        <v>1.195918</v>
      </c>
      <c r="T36">
        <v>0.40192040000000001</v>
      </c>
      <c r="U36">
        <v>0.4216298</v>
      </c>
      <c r="V36">
        <v>0.3533636</v>
      </c>
      <c r="W36">
        <v>0.6466364</v>
      </c>
      <c r="X36">
        <v>4.901E-3</v>
      </c>
      <c r="Y36" s="2">
        <f t="shared" si="0"/>
        <v>4.9009999999999998</v>
      </c>
      <c r="Z36">
        <v>67072868</v>
      </c>
      <c r="AA36">
        <v>47042102</v>
      </c>
      <c r="AB36">
        <v>11253</v>
      </c>
      <c r="AC36">
        <v>1.43</v>
      </c>
      <c r="AD36">
        <v>0</v>
      </c>
      <c r="AE36">
        <v>0</v>
      </c>
      <c r="AF36">
        <v>0</v>
      </c>
      <c r="AG36">
        <v>0</v>
      </c>
      <c r="AH36">
        <v>123537.5</v>
      </c>
      <c r="AI36">
        <v>0</v>
      </c>
      <c r="AJ36">
        <v>123538</v>
      </c>
      <c r="AK36">
        <v>62</v>
      </c>
      <c r="AL36">
        <v>2</v>
      </c>
      <c r="AM36">
        <v>0</v>
      </c>
      <c r="AN36">
        <v>0</v>
      </c>
      <c r="AO36">
        <v>0</v>
      </c>
      <c r="AP36">
        <v>293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123538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99817</v>
      </c>
      <c r="BF36">
        <v>41</v>
      </c>
      <c r="BG36">
        <v>50045</v>
      </c>
      <c r="BH36">
        <v>2074</v>
      </c>
      <c r="BI36">
        <v>24.1297</v>
      </c>
      <c r="BJ36">
        <v>26.466449999999998</v>
      </c>
      <c r="BK36">
        <v>26.466449999999998</v>
      </c>
      <c r="BL36">
        <v>26.466449999999998</v>
      </c>
      <c r="BM36">
        <v>471557.7</v>
      </c>
      <c r="BN36">
        <v>4946795</v>
      </c>
      <c r="BO36">
        <v>307.26929999999999</v>
      </c>
      <c r="BP36">
        <v>61.73039</v>
      </c>
      <c r="BQ36">
        <v>0.62353930000000002</v>
      </c>
      <c r="BR36">
        <v>4.9776020000000001</v>
      </c>
      <c r="BS36">
        <v>44224.92</v>
      </c>
      <c r="BT36">
        <v>23548.78</v>
      </c>
      <c r="BU36">
        <v>3463.056</v>
      </c>
      <c r="BV36" s="1">
        <v>1318000000</v>
      </c>
      <c r="BW36" s="1">
        <v>3941000000</v>
      </c>
      <c r="BX36" s="1">
        <v>473100000</v>
      </c>
      <c r="BY36" s="1">
        <v>1425000000</v>
      </c>
      <c r="BZ36">
        <v>35935085</v>
      </c>
      <c r="CA36" s="1">
        <v>194000000</v>
      </c>
      <c r="CB36">
        <v>338821</v>
      </c>
      <c r="CC36">
        <v>1013317</v>
      </c>
      <c r="CD36">
        <v>220165</v>
      </c>
      <c r="CE36">
        <v>663089</v>
      </c>
      <c r="CF36">
        <v>135604</v>
      </c>
      <c r="CG36">
        <v>732745</v>
      </c>
      <c r="CH36">
        <v>3</v>
      </c>
      <c r="CI36">
        <v>402</v>
      </c>
      <c r="CJ36">
        <v>478480</v>
      </c>
      <c r="CK36">
        <v>4980091</v>
      </c>
      <c r="CL36">
        <v>816</v>
      </c>
      <c r="CM36">
        <v>492625</v>
      </c>
      <c r="CN36">
        <v>4977029</v>
      </c>
      <c r="CO36">
        <v>34007.97</v>
      </c>
      <c r="CP36">
        <v>36850.050000000003</v>
      </c>
      <c r="CQ36">
        <v>34.00797</v>
      </c>
      <c r="CR36">
        <v>36.850059999999999</v>
      </c>
      <c r="CS36">
        <f t="shared" si="1"/>
        <v>651.81632653061229</v>
      </c>
    </row>
    <row r="37" spans="1:97">
      <c r="A37" t="s">
        <v>15</v>
      </c>
      <c r="B37" t="s">
        <v>182</v>
      </c>
      <c r="C37" t="s">
        <v>15</v>
      </c>
      <c r="D37">
        <v>22698</v>
      </c>
      <c r="E37">
        <v>1498</v>
      </c>
      <c r="F37">
        <v>820.66669999999999</v>
      </c>
      <c r="G37">
        <v>5539</v>
      </c>
      <c r="H37">
        <v>365.58550000000002</v>
      </c>
      <c r="I37">
        <v>48736</v>
      </c>
      <c r="J37">
        <v>0.87</v>
      </c>
      <c r="K37">
        <v>1267</v>
      </c>
      <c r="L37">
        <v>909</v>
      </c>
      <c r="M37">
        <v>1098</v>
      </c>
      <c r="N37">
        <v>740</v>
      </c>
      <c r="O37">
        <v>2196</v>
      </c>
      <c r="P37">
        <v>740</v>
      </c>
      <c r="Q37">
        <v>359</v>
      </c>
      <c r="R37">
        <v>0.24338979999999999</v>
      </c>
      <c r="S37">
        <v>1.483784</v>
      </c>
      <c r="T37">
        <v>0.49593500000000001</v>
      </c>
      <c r="U37">
        <v>0.15378629999999999</v>
      </c>
      <c r="V37">
        <v>0.1088607</v>
      </c>
      <c r="W37">
        <v>0.89113929999999997</v>
      </c>
      <c r="X37">
        <v>2.0079999999999998E-3</v>
      </c>
      <c r="Y37" s="2">
        <f t="shared" si="0"/>
        <v>2.008</v>
      </c>
      <c r="Z37">
        <v>42202676</v>
      </c>
      <c r="AA37">
        <v>30495074</v>
      </c>
      <c r="AB37">
        <v>11239</v>
      </c>
      <c r="AC37">
        <v>1.38</v>
      </c>
      <c r="AD37">
        <v>0.08</v>
      </c>
      <c r="AE37">
        <v>0.16</v>
      </c>
      <c r="AF37">
        <v>0.88</v>
      </c>
      <c r="AG37">
        <v>1477.95</v>
      </c>
      <c r="AH37">
        <v>167379.4</v>
      </c>
      <c r="AI37">
        <v>1478</v>
      </c>
      <c r="AJ37">
        <v>168857</v>
      </c>
      <c r="AK37">
        <v>15</v>
      </c>
      <c r="AL37">
        <v>11</v>
      </c>
      <c r="AM37">
        <v>3</v>
      </c>
      <c r="AN37">
        <v>0</v>
      </c>
      <c r="AO37">
        <v>0</v>
      </c>
      <c r="AP37">
        <v>1090</v>
      </c>
      <c r="AQ37">
        <v>1</v>
      </c>
      <c r="AR37">
        <v>3</v>
      </c>
      <c r="AS37">
        <v>1</v>
      </c>
      <c r="AT37">
        <v>0</v>
      </c>
      <c r="AU37">
        <v>1478</v>
      </c>
      <c r="AV37">
        <v>0</v>
      </c>
      <c r="AW37">
        <v>0</v>
      </c>
      <c r="AX37">
        <v>165829</v>
      </c>
      <c r="AY37">
        <v>306</v>
      </c>
      <c r="AZ37">
        <v>1190</v>
      </c>
      <c r="BA37">
        <v>54</v>
      </c>
      <c r="BB37">
        <v>0</v>
      </c>
      <c r="BC37">
        <v>244893</v>
      </c>
      <c r="BD37">
        <v>102</v>
      </c>
      <c r="BE37">
        <v>244595</v>
      </c>
      <c r="BF37">
        <v>17</v>
      </c>
      <c r="BG37">
        <v>268895</v>
      </c>
      <c r="BH37">
        <v>12310</v>
      </c>
      <c r="BI37">
        <v>21.843620000000001</v>
      </c>
      <c r="BJ37">
        <v>26.3139</v>
      </c>
      <c r="BK37">
        <v>26.3139</v>
      </c>
      <c r="BL37">
        <v>26.3139</v>
      </c>
      <c r="BM37">
        <v>471667.9</v>
      </c>
      <c r="BN37">
        <v>4987213</v>
      </c>
      <c r="BO37">
        <v>372.0401</v>
      </c>
      <c r="BP37">
        <v>15.15104</v>
      </c>
      <c r="BQ37">
        <v>2.9192800000000001E-2</v>
      </c>
      <c r="BR37">
        <v>24.555420000000002</v>
      </c>
      <c r="BS37">
        <v>1101749</v>
      </c>
      <c r="BT37">
        <v>597521.1</v>
      </c>
      <c r="BU37">
        <v>268860.2</v>
      </c>
      <c r="BV37" s="1">
        <v>33230000000</v>
      </c>
      <c r="BW37" s="1">
        <v>69040000000</v>
      </c>
      <c r="BX37" s="1">
        <v>10740000000</v>
      </c>
      <c r="BY37" s="1">
        <v>21070000000</v>
      </c>
      <c r="BZ37" s="1">
        <v>10790000000</v>
      </c>
      <c r="CA37" s="1">
        <v>19100000000</v>
      </c>
      <c r="CB37">
        <v>1055669</v>
      </c>
      <c r="CC37">
        <v>2193317</v>
      </c>
      <c r="CD37">
        <v>617602</v>
      </c>
      <c r="CE37">
        <v>1211864</v>
      </c>
      <c r="CF37">
        <v>868771</v>
      </c>
      <c r="CG37">
        <v>1533417</v>
      </c>
      <c r="CH37">
        <v>3</v>
      </c>
      <c r="CI37">
        <v>402</v>
      </c>
      <c r="CJ37">
        <v>478480</v>
      </c>
      <c r="CK37">
        <v>4980091</v>
      </c>
      <c r="CL37">
        <v>816</v>
      </c>
      <c r="CM37">
        <v>492625</v>
      </c>
      <c r="CN37">
        <v>4977029</v>
      </c>
      <c r="CO37">
        <v>9855.3289999999997</v>
      </c>
      <c r="CP37">
        <v>23300.51</v>
      </c>
      <c r="CQ37">
        <v>9.8553300000000004</v>
      </c>
      <c r="CR37">
        <v>23.300509999999999</v>
      </c>
      <c r="CS37">
        <f t="shared" si="1"/>
        <v>521.4405405405405</v>
      </c>
    </row>
    <row r="38" spans="1:97">
      <c r="A38" t="s">
        <v>16</v>
      </c>
      <c r="B38" t="s">
        <v>258</v>
      </c>
      <c r="C38" t="s">
        <v>16</v>
      </c>
      <c r="D38">
        <v>1453</v>
      </c>
      <c r="E38">
        <v>16</v>
      </c>
      <c r="F38">
        <v>7.9892469999999998</v>
      </c>
      <c r="G38">
        <v>169</v>
      </c>
      <c r="H38">
        <v>1.811688</v>
      </c>
      <c r="I38">
        <v>63224</v>
      </c>
      <c r="J38">
        <v>0.83</v>
      </c>
      <c r="K38">
        <v>397</v>
      </c>
      <c r="L38">
        <v>374</v>
      </c>
      <c r="M38">
        <v>291</v>
      </c>
      <c r="N38">
        <v>268</v>
      </c>
      <c r="O38">
        <v>582</v>
      </c>
      <c r="P38">
        <v>268</v>
      </c>
      <c r="Q38">
        <v>24</v>
      </c>
      <c r="R38">
        <v>4.51977E-2</v>
      </c>
      <c r="S38">
        <v>1.0858209999999999</v>
      </c>
      <c r="T38">
        <v>0.36466169999999998</v>
      </c>
      <c r="U38">
        <v>0.53503350000000005</v>
      </c>
      <c r="V38">
        <v>0.34497660000000002</v>
      </c>
      <c r="W38">
        <v>0.65502340000000003</v>
      </c>
      <c r="X38">
        <v>4.0670000000000003E-3</v>
      </c>
      <c r="Y38" s="2">
        <f t="shared" si="0"/>
        <v>4.0670000000000002</v>
      </c>
      <c r="Z38">
        <v>95119260</v>
      </c>
      <c r="AA38">
        <v>64483365</v>
      </c>
      <c r="AB38">
        <v>12250</v>
      </c>
      <c r="AC38">
        <v>1.48</v>
      </c>
      <c r="AD38">
        <v>1.17</v>
      </c>
      <c r="AE38">
        <v>0.96</v>
      </c>
      <c r="AF38">
        <v>0</v>
      </c>
      <c r="AG38">
        <v>10020.969999999999</v>
      </c>
      <c r="AH38">
        <v>145673.79999999999</v>
      </c>
      <c r="AI38">
        <v>0</v>
      </c>
      <c r="AJ38">
        <v>155695</v>
      </c>
      <c r="AK38">
        <v>93</v>
      </c>
      <c r="AL38">
        <v>2</v>
      </c>
      <c r="AM38">
        <v>0</v>
      </c>
      <c r="AN38">
        <v>23</v>
      </c>
      <c r="AO38">
        <v>0</v>
      </c>
      <c r="AP38">
        <v>196</v>
      </c>
      <c r="AQ38">
        <v>0</v>
      </c>
      <c r="AR38">
        <v>0</v>
      </c>
      <c r="AS38">
        <v>72</v>
      </c>
      <c r="AT38">
        <v>0</v>
      </c>
      <c r="AU38">
        <v>0</v>
      </c>
      <c r="AV38">
        <v>10021</v>
      </c>
      <c r="AW38">
        <v>0</v>
      </c>
      <c r="AX38">
        <v>121011</v>
      </c>
      <c r="AY38">
        <v>0</v>
      </c>
      <c r="AZ38">
        <v>0</v>
      </c>
      <c r="BA38">
        <v>24663</v>
      </c>
      <c r="BB38">
        <v>0</v>
      </c>
      <c r="BC38">
        <v>0</v>
      </c>
      <c r="BD38">
        <v>0</v>
      </c>
      <c r="BE38">
        <v>80360</v>
      </c>
      <c r="BF38">
        <v>89</v>
      </c>
      <c r="BG38">
        <v>20530</v>
      </c>
      <c r="BH38">
        <v>743</v>
      </c>
      <c r="BI38">
        <v>27.631229999999999</v>
      </c>
      <c r="BJ38">
        <v>28.308160000000001</v>
      </c>
      <c r="BK38">
        <v>28.308160000000001</v>
      </c>
      <c r="BL38">
        <v>28.308160000000001</v>
      </c>
      <c r="BM38">
        <v>444068.3</v>
      </c>
      <c r="BN38">
        <v>4956792</v>
      </c>
      <c r="BO38">
        <v>446.82839999999999</v>
      </c>
      <c r="BP38">
        <v>93.283159999999995</v>
      </c>
      <c r="BQ38">
        <v>0.75839970000000001</v>
      </c>
      <c r="BR38">
        <v>4.7900219999999996</v>
      </c>
      <c r="BS38">
        <v>11668.95</v>
      </c>
      <c r="BT38">
        <v>5966.9840000000004</v>
      </c>
      <c r="BU38">
        <v>1357.2280000000001</v>
      </c>
      <c r="BV38" s="1">
        <v>180000000</v>
      </c>
      <c r="BW38" s="1">
        <v>562700000</v>
      </c>
      <c r="BX38">
        <v>66995223</v>
      </c>
      <c r="BY38" s="1">
        <v>236900000</v>
      </c>
      <c r="BZ38">
        <v>9475637</v>
      </c>
      <c r="CA38" s="1">
        <v>31000000</v>
      </c>
      <c r="CB38">
        <v>123861</v>
      </c>
      <c r="CC38">
        <v>387272</v>
      </c>
      <c r="CD38">
        <v>83763</v>
      </c>
      <c r="CE38">
        <v>296246</v>
      </c>
      <c r="CF38">
        <v>46678</v>
      </c>
      <c r="CG38">
        <v>152936</v>
      </c>
      <c r="CH38">
        <v>3</v>
      </c>
      <c r="CI38">
        <v>402</v>
      </c>
      <c r="CJ38">
        <v>478480</v>
      </c>
      <c r="CK38">
        <v>4980091</v>
      </c>
      <c r="CL38">
        <v>816</v>
      </c>
      <c r="CM38">
        <v>492625</v>
      </c>
      <c r="CN38">
        <v>4977029</v>
      </c>
      <c r="CO38">
        <v>41557.33</v>
      </c>
      <c r="CP38">
        <v>52605.08</v>
      </c>
      <c r="CQ38">
        <v>41.55733</v>
      </c>
      <c r="CR38">
        <v>52.605080000000001</v>
      </c>
      <c r="CS38">
        <f t="shared" si="1"/>
        <v>482.5261194029851</v>
      </c>
    </row>
    <row r="39" spans="1:97">
      <c r="A39" t="s">
        <v>17</v>
      </c>
      <c r="B39" t="s">
        <v>182</v>
      </c>
      <c r="C39" t="s">
        <v>17</v>
      </c>
      <c r="D39">
        <v>4686</v>
      </c>
      <c r="E39">
        <v>72</v>
      </c>
      <c r="F39">
        <v>38.369230000000002</v>
      </c>
      <c r="G39">
        <v>1053</v>
      </c>
      <c r="H39">
        <v>16.235890000000001</v>
      </c>
      <c r="I39">
        <v>66875</v>
      </c>
      <c r="J39">
        <v>0.89</v>
      </c>
      <c r="K39">
        <v>352</v>
      </c>
      <c r="L39">
        <v>314</v>
      </c>
      <c r="M39">
        <v>272</v>
      </c>
      <c r="N39">
        <v>234</v>
      </c>
      <c r="O39">
        <v>544</v>
      </c>
      <c r="P39">
        <v>234</v>
      </c>
      <c r="Q39">
        <v>39</v>
      </c>
      <c r="R39">
        <v>8.4233299999999997E-2</v>
      </c>
      <c r="S39">
        <v>1.162393</v>
      </c>
      <c r="T39">
        <v>0.3908046</v>
      </c>
      <c r="U39">
        <v>0.40997739999999999</v>
      </c>
      <c r="V39">
        <v>0.3822333</v>
      </c>
      <c r="W39">
        <v>0.6177667</v>
      </c>
      <c r="X39">
        <v>4.9890000000000004E-3</v>
      </c>
      <c r="Y39" s="2">
        <f t="shared" si="0"/>
        <v>4.9890000000000008</v>
      </c>
      <c r="Z39">
        <v>91408171</v>
      </c>
      <c r="AA39">
        <v>57781496</v>
      </c>
      <c r="AB39">
        <v>12350</v>
      </c>
      <c r="AC39">
        <v>1.58</v>
      </c>
      <c r="AD39">
        <v>7.0000000000000007E-2</v>
      </c>
      <c r="AE39">
        <v>0.13</v>
      </c>
      <c r="AF39">
        <v>1.58</v>
      </c>
      <c r="AG39">
        <v>1764.55</v>
      </c>
      <c r="AH39">
        <v>109749.3</v>
      </c>
      <c r="AI39">
        <v>1765</v>
      </c>
      <c r="AJ39">
        <v>111514</v>
      </c>
      <c r="AK39">
        <v>65</v>
      </c>
      <c r="AL39">
        <v>2</v>
      </c>
      <c r="AM39">
        <v>1</v>
      </c>
      <c r="AN39">
        <v>0</v>
      </c>
      <c r="AO39">
        <v>0</v>
      </c>
      <c r="AP39">
        <v>270</v>
      </c>
      <c r="AQ39">
        <v>0</v>
      </c>
      <c r="AR39">
        <v>0</v>
      </c>
      <c r="AS39">
        <v>1</v>
      </c>
      <c r="AT39">
        <v>0</v>
      </c>
      <c r="AU39">
        <v>1765</v>
      </c>
      <c r="AV39">
        <v>0</v>
      </c>
      <c r="AW39">
        <v>0</v>
      </c>
      <c r="AX39">
        <v>109624</v>
      </c>
      <c r="AY39">
        <v>0</v>
      </c>
      <c r="AZ39">
        <v>0</v>
      </c>
      <c r="BA39">
        <v>125</v>
      </c>
      <c r="BB39">
        <v>0</v>
      </c>
      <c r="BC39">
        <v>190916</v>
      </c>
      <c r="BD39">
        <v>64</v>
      </c>
      <c r="BE39">
        <v>192478</v>
      </c>
      <c r="BF39">
        <v>66</v>
      </c>
      <c r="BG39">
        <v>73490</v>
      </c>
      <c r="BH39">
        <v>2494</v>
      </c>
      <c r="BI39">
        <v>29.466719999999999</v>
      </c>
      <c r="BJ39">
        <v>27.482959999999999</v>
      </c>
      <c r="BK39">
        <v>27.482959999999999</v>
      </c>
      <c r="BL39">
        <v>27.482959999999999</v>
      </c>
      <c r="BM39">
        <v>462636.3</v>
      </c>
      <c r="BN39">
        <v>5004216</v>
      </c>
      <c r="BO39">
        <v>335.17500000000001</v>
      </c>
      <c r="BP39">
        <v>64.85633</v>
      </c>
      <c r="BQ39">
        <v>0.54501120000000003</v>
      </c>
      <c r="BR39">
        <v>5.167961</v>
      </c>
      <c r="BS39">
        <v>44358.02</v>
      </c>
      <c r="BT39">
        <v>23608.38</v>
      </c>
      <c r="BU39">
        <v>9967.7739999999994</v>
      </c>
      <c r="BV39" s="1">
        <v>1360000000</v>
      </c>
      <c r="BW39" s="1">
        <v>4077000000</v>
      </c>
      <c r="BX39" s="1">
        <v>450300000</v>
      </c>
      <c r="BY39" s="1">
        <v>1332000000</v>
      </c>
      <c r="BZ39" s="1">
        <v>152000000</v>
      </c>
      <c r="CA39" s="1">
        <v>552000000</v>
      </c>
      <c r="CB39">
        <v>290178</v>
      </c>
      <c r="CC39">
        <v>870052</v>
      </c>
      <c r="CD39">
        <v>175367</v>
      </c>
      <c r="CE39">
        <v>518559</v>
      </c>
      <c r="CF39">
        <v>143785</v>
      </c>
      <c r="CG39">
        <v>522672</v>
      </c>
      <c r="CH39">
        <v>3</v>
      </c>
      <c r="CI39">
        <v>402</v>
      </c>
      <c r="CJ39">
        <v>478480</v>
      </c>
      <c r="CK39">
        <v>4980091</v>
      </c>
      <c r="CL39">
        <v>816</v>
      </c>
      <c r="CM39">
        <v>492625</v>
      </c>
      <c r="CN39">
        <v>4977029</v>
      </c>
      <c r="CO39">
        <v>28862.42</v>
      </c>
      <c r="CP39">
        <v>40477.85</v>
      </c>
      <c r="CQ39">
        <v>28.86242</v>
      </c>
      <c r="CR39">
        <v>40.477849999999997</v>
      </c>
      <c r="CS39">
        <f t="shared" si="1"/>
        <v>1321.6923076923076</v>
      </c>
    </row>
    <row r="40" spans="1:97">
      <c r="A40" t="s">
        <v>18</v>
      </c>
      <c r="B40" t="s">
        <v>182</v>
      </c>
      <c r="C40" t="s">
        <v>18</v>
      </c>
      <c r="D40">
        <v>3853</v>
      </c>
      <c r="E40">
        <v>381</v>
      </c>
      <c r="F40">
        <v>169.4</v>
      </c>
      <c r="G40">
        <v>1028</v>
      </c>
      <c r="H40">
        <v>101.6604</v>
      </c>
      <c r="I40">
        <v>101278</v>
      </c>
      <c r="J40">
        <v>0.86</v>
      </c>
      <c r="K40">
        <v>336</v>
      </c>
      <c r="L40">
        <v>284</v>
      </c>
      <c r="M40">
        <v>304</v>
      </c>
      <c r="N40">
        <v>252</v>
      </c>
      <c r="O40">
        <v>608</v>
      </c>
      <c r="P40">
        <v>252</v>
      </c>
      <c r="Q40">
        <v>53</v>
      </c>
      <c r="R40">
        <v>0.1062124</v>
      </c>
      <c r="S40">
        <v>1.2063489999999999</v>
      </c>
      <c r="T40">
        <v>0.40533330000000001</v>
      </c>
      <c r="U40">
        <v>0.1643192</v>
      </c>
      <c r="V40">
        <v>0.4306508</v>
      </c>
      <c r="W40">
        <v>0.5693492</v>
      </c>
      <c r="X40">
        <v>4.8060000000000004E-3</v>
      </c>
      <c r="Y40" s="2">
        <f t="shared" si="0"/>
        <v>4.806</v>
      </c>
      <c r="Z40">
        <v>25875276</v>
      </c>
      <c r="AA40">
        <v>17589888</v>
      </c>
      <c r="AB40">
        <v>11678</v>
      </c>
      <c r="AC40">
        <v>1.47</v>
      </c>
      <c r="AD40">
        <v>0.06</v>
      </c>
      <c r="AE40">
        <v>7.0000000000000007E-2</v>
      </c>
      <c r="AF40">
        <v>0</v>
      </c>
      <c r="AG40">
        <v>445.14</v>
      </c>
      <c r="AH40">
        <v>49507.91</v>
      </c>
      <c r="AI40">
        <v>0</v>
      </c>
      <c r="AJ40">
        <v>49953</v>
      </c>
      <c r="AK40">
        <v>10</v>
      </c>
      <c r="AL40">
        <v>5</v>
      </c>
      <c r="AM40">
        <v>0</v>
      </c>
      <c r="AN40">
        <v>0</v>
      </c>
      <c r="AO40">
        <v>2</v>
      </c>
      <c r="AP40">
        <v>302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445</v>
      </c>
      <c r="AX40">
        <v>49508</v>
      </c>
      <c r="AY40">
        <v>0</v>
      </c>
      <c r="AZ40">
        <v>0</v>
      </c>
      <c r="BA40">
        <v>0</v>
      </c>
      <c r="BB40">
        <v>0</v>
      </c>
      <c r="BC40">
        <v>15830</v>
      </c>
      <c r="BD40">
        <v>26</v>
      </c>
      <c r="BE40">
        <v>15434</v>
      </c>
      <c r="BF40">
        <v>6</v>
      </c>
      <c r="BG40">
        <v>46755</v>
      </c>
      <c r="BH40">
        <v>1694</v>
      </c>
      <c r="BI40">
        <v>27.600349999999999</v>
      </c>
      <c r="BJ40">
        <v>24.97195</v>
      </c>
      <c r="BK40">
        <v>24.97195</v>
      </c>
      <c r="BL40">
        <v>24.97195</v>
      </c>
      <c r="BM40">
        <v>458236.3</v>
      </c>
      <c r="BN40">
        <v>4975507</v>
      </c>
      <c r="BO40">
        <v>121.0686</v>
      </c>
      <c r="BP40">
        <v>10.1121</v>
      </c>
      <c r="BQ40">
        <v>9.8175700000000005E-2</v>
      </c>
      <c r="BR40">
        <v>11.97265</v>
      </c>
      <c r="BS40">
        <v>223360.5</v>
      </c>
      <c r="BT40">
        <v>98202.1</v>
      </c>
      <c r="BU40">
        <v>59593.72</v>
      </c>
      <c r="BV40" s="1">
        <v>1634000000</v>
      </c>
      <c r="BW40" s="1">
        <v>5150000000</v>
      </c>
      <c r="BX40" s="1">
        <v>578400000</v>
      </c>
      <c r="BY40" s="1">
        <v>1555000000</v>
      </c>
      <c r="BZ40" s="1">
        <v>600600000</v>
      </c>
      <c r="CA40" s="1">
        <v>1590000000</v>
      </c>
      <c r="CB40">
        <v>513732</v>
      </c>
      <c r="CC40">
        <v>1618988</v>
      </c>
      <c r="CD40">
        <v>371674</v>
      </c>
      <c r="CE40">
        <v>999363</v>
      </c>
      <c r="CF40">
        <v>456754</v>
      </c>
      <c r="CG40">
        <v>1211657</v>
      </c>
      <c r="CH40">
        <v>3</v>
      </c>
      <c r="CI40">
        <v>402</v>
      </c>
      <c r="CJ40">
        <v>478480</v>
      </c>
      <c r="CK40">
        <v>4980091</v>
      </c>
      <c r="CL40">
        <v>816</v>
      </c>
      <c r="CM40">
        <v>492625</v>
      </c>
      <c r="CN40">
        <v>4977029</v>
      </c>
      <c r="CO40">
        <v>20756.37</v>
      </c>
      <c r="CP40">
        <v>34422.44</v>
      </c>
      <c r="CQ40">
        <v>20.75637</v>
      </c>
      <c r="CR40">
        <v>34.422440000000002</v>
      </c>
      <c r="CS40">
        <f t="shared" si="1"/>
        <v>91.738095238095241</v>
      </c>
    </row>
    <row r="41" spans="1:97">
      <c r="A41" t="s">
        <v>19</v>
      </c>
      <c r="B41" t="s">
        <v>158</v>
      </c>
      <c r="C41" t="s">
        <v>19</v>
      </c>
      <c r="D41">
        <v>1033</v>
      </c>
      <c r="E41">
        <v>141</v>
      </c>
      <c r="F41">
        <v>69</v>
      </c>
      <c r="G41">
        <v>239</v>
      </c>
      <c r="H41">
        <v>32.731389999999998</v>
      </c>
      <c r="I41">
        <v>129136</v>
      </c>
      <c r="J41">
        <v>0.87</v>
      </c>
      <c r="K41">
        <v>122</v>
      </c>
      <c r="L41">
        <v>104</v>
      </c>
      <c r="M41">
        <v>101</v>
      </c>
      <c r="N41">
        <v>83</v>
      </c>
      <c r="O41">
        <v>202</v>
      </c>
      <c r="P41">
        <v>83</v>
      </c>
      <c r="Q41">
        <v>19</v>
      </c>
      <c r="R41">
        <v>0.1180124</v>
      </c>
      <c r="S41">
        <v>1.2168669999999999</v>
      </c>
      <c r="T41">
        <v>0.4156379</v>
      </c>
      <c r="U41">
        <v>0.32100909999999999</v>
      </c>
      <c r="V41">
        <v>0.40877380000000002</v>
      </c>
      <c r="W41">
        <v>0.59122620000000004</v>
      </c>
      <c r="X41">
        <v>1.4840000000000001E-2</v>
      </c>
      <c r="Y41" s="2">
        <f t="shared" si="0"/>
        <v>14.840000000000002</v>
      </c>
      <c r="Z41">
        <v>28952811</v>
      </c>
      <c r="AA41">
        <v>19074118</v>
      </c>
      <c r="AB41">
        <v>10804</v>
      </c>
      <c r="AC41">
        <v>1.52</v>
      </c>
      <c r="AD41">
        <v>0.36</v>
      </c>
      <c r="AE41">
        <v>0.45</v>
      </c>
      <c r="AF41">
        <v>0</v>
      </c>
      <c r="AG41">
        <v>3068.37</v>
      </c>
      <c r="AH41">
        <v>29353.54</v>
      </c>
      <c r="AI41">
        <v>0</v>
      </c>
      <c r="AJ41">
        <v>32422</v>
      </c>
      <c r="AK41">
        <v>7</v>
      </c>
      <c r="AL41">
        <v>4</v>
      </c>
      <c r="AM41">
        <v>0</v>
      </c>
      <c r="AN41">
        <v>0</v>
      </c>
      <c r="AO41">
        <v>7</v>
      </c>
      <c r="AP41">
        <v>94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3068</v>
      </c>
      <c r="AX41">
        <v>29354</v>
      </c>
      <c r="AY41">
        <v>0</v>
      </c>
      <c r="AZ41">
        <v>0</v>
      </c>
      <c r="BA41">
        <v>0</v>
      </c>
      <c r="BB41">
        <v>0</v>
      </c>
      <c r="BC41">
        <v>22543</v>
      </c>
      <c r="BD41">
        <v>15</v>
      </c>
      <c r="BE41">
        <v>22048</v>
      </c>
      <c r="BF41">
        <v>34</v>
      </c>
      <c r="BG41">
        <v>11445</v>
      </c>
      <c r="BH41">
        <v>483</v>
      </c>
      <c r="BI41">
        <v>23.695650000000001</v>
      </c>
      <c r="BJ41">
        <v>26.889279999999999</v>
      </c>
      <c r="BK41">
        <v>26.889279999999999</v>
      </c>
      <c r="BL41">
        <v>26.889279999999999</v>
      </c>
      <c r="BM41">
        <v>502577.2</v>
      </c>
      <c r="BN41">
        <v>4993884</v>
      </c>
      <c r="BO41">
        <v>86.715710000000001</v>
      </c>
      <c r="BP41">
        <v>7.3018590000000003</v>
      </c>
      <c r="BQ41">
        <v>0.16981070000000001</v>
      </c>
      <c r="BR41">
        <v>11.87584</v>
      </c>
      <c r="BS41">
        <v>90306.77</v>
      </c>
      <c r="BT41">
        <v>42224.75</v>
      </c>
      <c r="BU41">
        <v>20893.82</v>
      </c>
      <c r="BV41" s="1">
        <v>482500000</v>
      </c>
      <c r="BW41" s="1">
        <v>1701000000</v>
      </c>
      <c r="BX41" s="1">
        <v>135600000</v>
      </c>
      <c r="BY41" s="1">
        <v>485700000</v>
      </c>
      <c r="BZ41">
        <v>41296788</v>
      </c>
      <c r="CA41" s="1">
        <v>208000000</v>
      </c>
      <c r="CB41">
        <v>342468</v>
      </c>
      <c r="CC41">
        <v>1207360</v>
      </c>
      <c r="CD41">
        <v>189723</v>
      </c>
      <c r="CE41">
        <v>679585</v>
      </c>
      <c r="CF41">
        <v>146443</v>
      </c>
      <c r="CG41">
        <v>738012</v>
      </c>
      <c r="CH41">
        <v>3</v>
      </c>
      <c r="CI41">
        <v>402</v>
      </c>
      <c r="CJ41">
        <v>478480</v>
      </c>
      <c r="CK41">
        <v>4980091</v>
      </c>
      <c r="CL41">
        <v>816</v>
      </c>
      <c r="CM41">
        <v>492625</v>
      </c>
      <c r="CN41">
        <v>4977029</v>
      </c>
      <c r="CO41">
        <v>27765.19</v>
      </c>
      <c r="CP41">
        <v>19573.439999999999</v>
      </c>
      <c r="CQ41">
        <v>27.76519</v>
      </c>
      <c r="CR41">
        <v>19.573440000000002</v>
      </c>
      <c r="CS41">
        <f t="shared" si="1"/>
        <v>423.15662650602411</v>
      </c>
    </row>
    <row r="42" spans="1:97">
      <c r="A42" t="s">
        <v>20</v>
      </c>
      <c r="B42" t="s">
        <v>158</v>
      </c>
      <c r="C42" t="s">
        <v>20</v>
      </c>
      <c r="D42">
        <v>1348</v>
      </c>
      <c r="E42">
        <v>17</v>
      </c>
      <c r="F42">
        <v>8.7692309999999996</v>
      </c>
      <c r="G42">
        <v>536</v>
      </c>
      <c r="H42">
        <v>6.8474830000000004</v>
      </c>
      <c r="I42">
        <v>74821</v>
      </c>
      <c r="J42">
        <v>0.82</v>
      </c>
      <c r="K42">
        <v>162</v>
      </c>
      <c r="L42">
        <v>144</v>
      </c>
      <c r="M42">
        <v>123</v>
      </c>
      <c r="N42">
        <v>105</v>
      </c>
      <c r="O42">
        <v>246</v>
      </c>
      <c r="P42">
        <v>105</v>
      </c>
      <c r="Q42">
        <v>19</v>
      </c>
      <c r="R42">
        <v>9.2682899999999999E-2</v>
      </c>
      <c r="S42">
        <v>1.1714290000000001</v>
      </c>
      <c r="T42">
        <v>0.39805829999999998</v>
      </c>
      <c r="U42">
        <v>0.81622130000000004</v>
      </c>
      <c r="V42">
        <v>0.2214207</v>
      </c>
      <c r="W42">
        <v>0.77857929999999997</v>
      </c>
      <c r="X42">
        <v>1.1264E-2</v>
      </c>
      <c r="Y42" s="2">
        <f t="shared" si="0"/>
        <v>11.263999999999999</v>
      </c>
      <c r="Z42">
        <v>86870887</v>
      </c>
      <c r="AA42">
        <v>66059539</v>
      </c>
      <c r="AB42">
        <v>12500</v>
      </c>
      <c r="AC42">
        <v>1.32</v>
      </c>
      <c r="AD42">
        <v>0.83</v>
      </c>
      <c r="AE42">
        <v>0.9</v>
      </c>
      <c r="AF42">
        <v>0</v>
      </c>
      <c r="AG42">
        <v>15034.75</v>
      </c>
      <c r="AH42">
        <v>85360.47</v>
      </c>
      <c r="AI42">
        <v>0</v>
      </c>
      <c r="AJ42">
        <v>100395</v>
      </c>
      <c r="AK42">
        <v>78</v>
      </c>
      <c r="AL42">
        <v>1</v>
      </c>
      <c r="AM42">
        <v>0</v>
      </c>
      <c r="AN42">
        <v>11</v>
      </c>
      <c r="AO42">
        <v>5</v>
      </c>
      <c r="AP42">
        <v>104</v>
      </c>
      <c r="AQ42">
        <v>0</v>
      </c>
      <c r="AR42">
        <v>0</v>
      </c>
      <c r="AS42">
        <v>3</v>
      </c>
      <c r="AT42">
        <v>0</v>
      </c>
      <c r="AU42">
        <v>0</v>
      </c>
      <c r="AV42">
        <v>7321</v>
      </c>
      <c r="AW42">
        <v>7714</v>
      </c>
      <c r="AX42">
        <v>83326</v>
      </c>
      <c r="AY42">
        <v>0</v>
      </c>
      <c r="AZ42">
        <v>0</v>
      </c>
      <c r="BA42">
        <v>2034</v>
      </c>
      <c r="BB42">
        <v>0</v>
      </c>
      <c r="BC42">
        <v>0</v>
      </c>
      <c r="BD42">
        <v>0</v>
      </c>
      <c r="BE42">
        <v>107103</v>
      </c>
      <c r="BF42">
        <v>128</v>
      </c>
      <c r="BG42">
        <v>17160</v>
      </c>
      <c r="BH42">
        <v>684</v>
      </c>
      <c r="BI42">
        <v>25.087720000000001</v>
      </c>
      <c r="BJ42">
        <v>28.51275</v>
      </c>
      <c r="BK42">
        <v>28.51275</v>
      </c>
      <c r="BL42">
        <v>28.51275</v>
      </c>
      <c r="BM42">
        <v>514019.2</v>
      </c>
      <c r="BN42">
        <v>4961998</v>
      </c>
      <c r="BO42">
        <v>310.78199999999998</v>
      </c>
      <c r="BP42">
        <v>78.276920000000004</v>
      </c>
      <c r="BQ42">
        <v>1.0436920000000001</v>
      </c>
      <c r="BR42">
        <v>3.9702890000000002</v>
      </c>
      <c r="BS42">
        <v>16468.14</v>
      </c>
      <c r="BT42">
        <v>8356.2369999999992</v>
      </c>
      <c r="BU42">
        <v>6548.1629999999996</v>
      </c>
      <c r="BV42" s="1">
        <v>156100000</v>
      </c>
      <c r="BW42" s="1">
        <v>529500000</v>
      </c>
      <c r="BX42">
        <v>49035563</v>
      </c>
      <c r="BY42" s="1">
        <v>170100000</v>
      </c>
      <c r="BZ42">
        <v>16846350</v>
      </c>
      <c r="CA42" s="1">
        <v>124000000</v>
      </c>
      <c r="CB42">
        <v>121190</v>
      </c>
      <c r="CC42">
        <v>411115</v>
      </c>
      <c r="CD42">
        <v>66241</v>
      </c>
      <c r="CE42">
        <v>229837</v>
      </c>
      <c r="CF42">
        <v>32775</v>
      </c>
      <c r="CG42">
        <v>240282</v>
      </c>
      <c r="CH42">
        <v>3</v>
      </c>
      <c r="CI42">
        <v>402</v>
      </c>
      <c r="CJ42">
        <v>478480</v>
      </c>
      <c r="CK42">
        <v>4980091</v>
      </c>
      <c r="CL42">
        <v>816</v>
      </c>
      <c r="CM42">
        <v>492625</v>
      </c>
      <c r="CN42">
        <v>4977029</v>
      </c>
      <c r="CO42">
        <v>39879.9</v>
      </c>
      <c r="CP42">
        <v>26146.81</v>
      </c>
      <c r="CQ42">
        <v>39.879899999999999</v>
      </c>
      <c r="CR42">
        <v>26.146809999999999</v>
      </c>
      <c r="CS42">
        <f t="shared" si="1"/>
        <v>1643.2761904761905</v>
      </c>
    </row>
    <row r="43" spans="1:97">
      <c r="A43" t="s">
        <v>213</v>
      </c>
      <c r="B43" t="s">
        <v>163</v>
      </c>
      <c r="C43" t="s">
        <v>213</v>
      </c>
      <c r="D43">
        <v>760</v>
      </c>
      <c r="E43">
        <v>9</v>
      </c>
      <c r="F43">
        <v>3.5113639999999999</v>
      </c>
      <c r="G43">
        <v>99</v>
      </c>
      <c r="H43">
        <v>1.123759</v>
      </c>
      <c r="I43">
        <v>60536</v>
      </c>
      <c r="J43">
        <v>0.77</v>
      </c>
      <c r="K43">
        <v>157</v>
      </c>
      <c r="L43">
        <v>134</v>
      </c>
      <c r="M43">
        <v>111</v>
      </c>
      <c r="N43">
        <v>88</v>
      </c>
      <c r="O43">
        <v>222</v>
      </c>
      <c r="P43">
        <v>88</v>
      </c>
      <c r="Q43">
        <v>24</v>
      </c>
      <c r="R43">
        <v>0.1403509</v>
      </c>
      <c r="S43">
        <v>1.2613639999999999</v>
      </c>
      <c r="T43">
        <v>0.43023260000000002</v>
      </c>
      <c r="U43">
        <v>1.086033</v>
      </c>
      <c r="V43">
        <v>0.17757870000000001</v>
      </c>
      <c r="W43">
        <v>0.82242130000000002</v>
      </c>
      <c r="X43">
        <v>1.4498E-2</v>
      </c>
      <c r="Y43" s="2">
        <f t="shared" si="0"/>
        <v>14.498000000000001</v>
      </c>
      <c r="Z43">
        <v>98994436</v>
      </c>
      <c r="AA43">
        <v>70906571</v>
      </c>
      <c r="AB43">
        <v>12500</v>
      </c>
      <c r="AC43">
        <v>1.4</v>
      </c>
      <c r="AD43">
        <v>0.88</v>
      </c>
      <c r="AE43">
        <v>0.52</v>
      </c>
      <c r="AF43">
        <v>0</v>
      </c>
      <c r="AG43">
        <v>5743.26</v>
      </c>
      <c r="AH43">
        <v>114806.39999999999</v>
      </c>
      <c r="AI43">
        <v>0</v>
      </c>
      <c r="AJ43">
        <v>120550</v>
      </c>
      <c r="AK43">
        <v>88</v>
      </c>
      <c r="AL43">
        <v>1</v>
      </c>
      <c r="AM43">
        <v>0</v>
      </c>
      <c r="AN43">
        <v>8</v>
      </c>
      <c r="AO43">
        <v>0</v>
      </c>
      <c r="AP43">
        <v>90</v>
      </c>
      <c r="AQ43">
        <v>0</v>
      </c>
      <c r="AR43">
        <v>0</v>
      </c>
      <c r="AS43">
        <v>13</v>
      </c>
      <c r="AT43">
        <v>0</v>
      </c>
      <c r="AU43">
        <v>0</v>
      </c>
      <c r="AV43">
        <v>5743</v>
      </c>
      <c r="AW43">
        <v>0</v>
      </c>
      <c r="AX43">
        <v>109793</v>
      </c>
      <c r="AY43">
        <v>0</v>
      </c>
      <c r="AZ43">
        <v>0</v>
      </c>
      <c r="BA43">
        <v>5013</v>
      </c>
      <c r="BB43">
        <v>0</v>
      </c>
      <c r="BC43">
        <v>0</v>
      </c>
      <c r="BD43">
        <v>0</v>
      </c>
      <c r="BE43">
        <v>56322</v>
      </c>
      <c r="BF43">
        <v>119</v>
      </c>
      <c r="BG43">
        <v>8615</v>
      </c>
      <c r="BH43">
        <v>309</v>
      </c>
      <c r="BI43">
        <v>27.88026</v>
      </c>
      <c r="BJ43">
        <v>29.7851</v>
      </c>
      <c r="BK43">
        <v>29.7851</v>
      </c>
      <c r="BL43">
        <v>29.7851</v>
      </c>
      <c r="BM43">
        <v>511511.1</v>
      </c>
      <c r="BN43">
        <v>4936964</v>
      </c>
      <c r="BO43">
        <v>250.4623</v>
      </c>
      <c r="BP43">
        <v>88.09178</v>
      </c>
      <c r="BQ43">
        <v>1.6940729999999999</v>
      </c>
      <c r="BR43">
        <v>2.843197</v>
      </c>
      <c r="BS43">
        <v>7987.0940000000001</v>
      </c>
      <c r="BT43">
        <v>3247.384</v>
      </c>
      <c r="BU43">
        <v>1040.424</v>
      </c>
      <c r="BV43">
        <v>31247135</v>
      </c>
      <c r="BW43" s="1">
        <v>169900000</v>
      </c>
      <c r="BX43">
        <v>8602877</v>
      </c>
      <c r="BY43">
        <v>52020560</v>
      </c>
      <c r="BZ43">
        <v>2114315</v>
      </c>
      <c r="CA43" s="1">
        <v>12000000</v>
      </c>
      <c r="CB43">
        <v>34913</v>
      </c>
      <c r="CC43">
        <v>189799</v>
      </c>
      <c r="CD43">
        <v>18629</v>
      </c>
      <c r="CE43">
        <v>112647</v>
      </c>
      <c r="CF43">
        <v>10955</v>
      </c>
      <c r="CG43">
        <v>62117</v>
      </c>
      <c r="CH43">
        <v>3</v>
      </c>
      <c r="CI43">
        <v>402</v>
      </c>
      <c r="CJ43">
        <v>478480</v>
      </c>
      <c r="CK43">
        <v>4980091</v>
      </c>
      <c r="CL43">
        <v>816</v>
      </c>
      <c r="CM43">
        <v>492625</v>
      </c>
      <c r="CN43">
        <v>4977029</v>
      </c>
      <c r="CO43">
        <v>54323.41</v>
      </c>
      <c r="CP43">
        <v>44293.65</v>
      </c>
      <c r="CQ43">
        <v>54.323410000000003</v>
      </c>
      <c r="CR43">
        <v>44.29365</v>
      </c>
      <c r="CS43">
        <f t="shared" si="1"/>
        <v>1027.7272727272727</v>
      </c>
    </row>
    <row r="44" spans="1:97">
      <c r="A44" t="s">
        <v>214</v>
      </c>
      <c r="B44" t="s">
        <v>163</v>
      </c>
      <c r="C44" t="s">
        <v>214</v>
      </c>
      <c r="D44">
        <v>63557</v>
      </c>
      <c r="E44">
        <v>733</v>
      </c>
      <c r="F44">
        <v>408.04599999999999</v>
      </c>
      <c r="G44">
        <v>42741</v>
      </c>
      <c r="H44">
        <v>492.95749999999998</v>
      </c>
      <c r="I44">
        <v>67388</v>
      </c>
      <c r="J44">
        <v>0.89</v>
      </c>
      <c r="K44">
        <v>3223</v>
      </c>
      <c r="L44">
        <v>2640</v>
      </c>
      <c r="M44">
        <v>2915</v>
      </c>
      <c r="N44">
        <v>2332</v>
      </c>
      <c r="O44">
        <v>5830</v>
      </c>
      <c r="P44">
        <v>2332</v>
      </c>
      <c r="Q44">
        <v>584</v>
      </c>
      <c r="R44">
        <v>0.12534880000000001</v>
      </c>
      <c r="S44">
        <v>1.25</v>
      </c>
      <c r="T44">
        <v>0.41702430000000001</v>
      </c>
      <c r="U44">
        <v>0.17978620000000001</v>
      </c>
      <c r="V44">
        <v>0.2147491</v>
      </c>
      <c r="W44">
        <v>0.78525089999999997</v>
      </c>
      <c r="X44">
        <v>5.3600000000000002E-4</v>
      </c>
      <c r="Y44" s="2">
        <f t="shared" si="0"/>
        <v>0.53600000000000003</v>
      </c>
      <c r="Z44">
        <v>76681512</v>
      </c>
      <c r="AA44">
        <v>59735047</v>
      </c>
      <c r="AB44">
        <v>12450</v>
      </c>
      <c r="AC44">
        <v>1.28</v>
      </c>
      <c r="AD44">
        <v>0.42</v>
      </c>
      <c r="AE44">
        <v>0.67</v>
      </c>
      <c r="AF44">
        <v>3.52</v>
      </c>
      <c r="AG44">
        <v>38525.75</v>
      </c>
      <c r="AH44">
        <v>485551</v>
      </c>
      <c r="AI44">
        <v>18468</v>
      </c>
      <c r="AJ44">
        <v>524077</v>
      </c>
      <c r="AK44">
        <v>87</v>
      </c>
      <c r="AL44">
        <v>6</v>
      </c>
      <c r="AM44">
        <v>36</v>
      </c>
      <c r="AN44">
        <v>0</v>
      </c>
      <c r="AO44">
        <v>69</v>
      </c>
      <c r="AP44">
        <v>2750</v>
      </c>
      <c r="AQ44">
        <v>0</v>
      </c>
      <c r="AR44">
        <v>43</v>
      </c>
      <c r="AS44">
        <v>17</v>
      </c>
      <c r="AT44">
        <v>0</v>
      </c>
      <c r="AU44">
        <v>18468</v>
      </c>
      <c r="AV44">
        <v>0</v>
      </c>
      <c r="AW44">
        <v>20058</v>
      </c>
      <c r="AX44">
        <v>468943</v>
      </c>
      <c r="AY44">
        <v>0</v>
      </c>
      <c r="AZ44">
        <v>14881</v>
      </c>
      <c r="BA44">
        <v>1726</v>
      </c>
      <c r="BB44">
        <v>0</v>
      </c>
      <c r="BC44">
        <v>1928985</v>
      </c>
      <c r="BD44">
        <v>264</v>
      </c>
      <c r="BE44">
        <v>1937806</v>
      </c>
      <c r="BF44">
        <v>49</v>
      </c>
      <c r="BG44">
        <v>794450</v>
      </c>
      <c r="BH44">
        <v>35500</v>
      </c>
      <c r="BI44">
        <v>22.378869999999999</v>
      </c>
      <c r="BJ44">
        <v>26.25348</v>
      </c>
      <c r="BK44">
        <v>26.25348</v>
      </c>
      <c r="BL44">
        <v>26.25348</v>
      </c>
      <c r="BM44">
        <v>487042.8</v>
      </c>
      <c r="BN44">
        <v>4962626</v>
      </c>
      <c r="BO44">
        <v>1026.4000000000001</v>
      </c>
      <c r="BP44">
        <v>86.703220000000002</v>
      </c>
      <c r="BQ44">
        <v>0.1162242</v>
      </c>
      <c r="BR44">
        <v>11.83808</v>
      </c>
      <c r="BS44">
        <v>623686.69999999995</v>
      </c>
      <c r="BT44">
        <v>348362.5</v>
      </c>
      <c r="BU44">
        <v>419418.7</v>
      </c>
      <c r="BV44" s="1">
        <v>54430000000</v>
      </c>
      <c r="BW44" s="1">
        <v>125700000000</v>
      </c>
      <c r="BX44" s="1">
        <v>20220000000</v>
      </c>
      <c r="BY44" s="1">
        <v>41460000000</v>
      </c>
      <c r="BZ44" s="1">
        <v>29330000000</v>
      </c>
      <c r="CA44" s="1">
        <v>62000000000</v>
      </c>
      <c r="CB44">
        <v>856403</v>
      </c>
      <c r="CC44">
        <v>1977048</v>
      </c>
      <c r="CD44">
        <v>546806</v>
      </c>
      <c r="CE44">
        <v>1121587</v>
      </c>
      <c r="CF44">
        <v>685987</v>
      </c>
      <c r="CG44">
        <v>1449364</v>
      </c>
      <c r="CH44">
        <v>3</v>
      </c>
      <c r="CI44">
        <v>402</v>
      </c>
      <c r="CJ44">
        <v>478480</v>
      </c>
      <c r="CK44">
        <v>4980091</v>
      </c>
      <c r="CL44">
        <v>816</v>
      </c>
      <c r="CM44">
        <v>492625</v>
      </c>
      <c r="CN44">
        <v>4977029</v>
      </c>
      <c r="CO44">
        <v>19451.16</v>
      </c>
      <c r="CP44">
        <v>15446.93</v>
      </c>
      <c r="CQ44">
        <v>19.451160000000002</v>
      </c>
      <c r="CR44">
        <v>15.44693</v>
      </c>
      <c r="CS44">
        <f t="shared" si="1"/>
        <v>1335.4601200686106</v>
      </c>
    </row>
    <row r="45" spans="1:97">
      <c r="A45" t="s">
        <v>215</v>
      </c>
      <c r="B45" t="s">
        <v>160</v>
      </c>
      <c r="C45" t="s">
        <v>215</v>
      </c>
      <c r="D45">
        <v>10941</v>
      </c>
      <c r="E45">
        <v>89</v>
      </c>
      <c r="F45">
        <v>45.552849999999999</v>
      </c>
      <c r="G45">
        <v>1287</v>
      </c>
      <c r="H45">
        <v>10.42521</v>
      </c>
      <c r="I45">
        <v>57880</v>
      </c>
      <c r="J45">
        <v>0.9</v>
      </c>
      <c r="K45">
        <v>898</v>
      </c>
      <c r="L45">
        <v>777</v>
      </c>
      <c r="M45">
        <v>695</v>
      </c>
      <c r="N45">
        <v>574</v>
      </c>
      <c r="O45">
        <v>1390</v>
      </c>
      <c r="P45">
        <v>574</v>
      </c>
      <c r="Q45">
        <v>122</v>
      </c>
      <c r="R45">
        <v>0.1067367</v>
      </c>
      <c r="S45">
        <v>1.210801</v>
      </c>
      <c r="T45">
        <v>0.40501169999999997</v>
      </c>
      <c r="U45">
        <v>0.38258589999999998</v>
      </c>
      <c r="V45">
        <v>0.3229515</v>
      </c>
      <c r="W45">
        <v>0.6770486</v>
      </c>
      <c r="X45">
        <v>2.1129999999999999E-3</v>
      </c>
      <c r="Y45" s="2">
        <f t="shared" si="0"/>
        <v>2.113</v>
      </c>
      <c r="Z45">
        <v>85345872</v>
      </c>
      <c r="AA45">
        <v>60892374</v>
      </c>
      <c r="AB45">
        <v>10782</v>
      </c>
      <c r="AC45">
        <v>1.4</v>
      </c>
      <c r="AD45">
        <v>0.24</v>
      </c>
      <c r="AE45">
        <v>0.33</v>
      </c>
      <c r="AF45">
        <v>0</v>
      </c>
      <c r="AG45">
        <v>12911.22</v>
      </c>
      <c r="AH45">
        <v>252986</v>
      </c>
      <c r="AI45">
        <v>0</v>
      </c>
      <c r="AJ45">
        <v>265897</v>
      </c>
      <c r="AK45">
        <v>123</v>
      </c>
      <c r="AL45">
        <v>2</v>
      </c>
      <c r="AM45">
        <v>0</v>
      </c>
      <c r="AN45">
        <v>24</v>
      </c>
      <c r="AO45">
        <v>0</v>
      </c>
      <c r="AP45">
        <v>669</v>
      </c>
      <c r="AQ45">
        <v>0</v>
      </c>
      <c r="AR45">
        <v>0</v>
      </c>
      <c r="AS45">
        <v>2</v>
      </c>
      <c r="AT45">
        <v>0</v>
      </c>
      <c r="AU45">
        <v>0</v>
      </c>
      <c r="AV45">
        <v>12911</v>
      </c>
      <c r="AW45">
        <v>0</v>
      </c>
      <c r="AX45">
        <v>251538</v>
      </c>
      <c r="AY45">
        <v>0</v>
      </c>
      <c r="AZ45">
        <v>0</v>
      </c>
      <c r="BA45">
        <v>1448</v>
      </c>
      <c r="BB45">
        <v>0</v>
      </c>
      <c r="BC45">
        <v>320124</v>
      </c>
      <c r="BD45">
        <v>149</v>
      </c>
      <c r="BE45">
        <v>322514</v>
      </c>
      <c r="BF45">
        <v>47</v>
      </c>
      <c r="BG45">
        <v>195600</v>
      </c>
      <c r="BH45">
        <v>5603</v>
      </c>
      <c r="BI45">
        <v>34.909869999999998</v>
      </c>
      <c r="BJ45">
        <v>27.055579999999999</v>
      </c>
      <c r="BK45">
        <v>27.055579999999999</v>
      </c>
      <c r="BL45">
        <v>27.055579999999999</v>
      </c>
      <c r="BM45">
        <v>484034</v>
      </c>
      <c r="BN45">
        <v>5022481</v>
      </c>
      <c r="BO45">
        <v>589.28750000000002</v>
      </c>
      <c r="BP45">
        <v>123.4507</v>
      </c>
      <c r="BQ45">
        <v>0.59927529999999996</v>
      </c>
      <c r="BR45">
        <v>4.7734639999999997</v>
      </c>
      <c r="BS45">
        <v>67177.77</v>
      </c>
      <c r="BT45">
        <v>34402.44</v>
      </c>
      <c r="BU45">
        <v>7902.1840000000002</v>
      </c>
      <c r="BV45" s="1">
        <v>1176000000</v>
      </c>
      <c r="BW45" s="1">
        <v>4078000000</v>
      </c>
      <c r="BX45" s="1">
        <v>390500000</v>
      </c>
      <c r="BY45" s="1">
        <v>1552000000</v>
      </c>
      <c r="BZ45">
        <v>23301444</v>
      </c>
      <c r="CA45" s="1">
        <v>179000000</v>
      </c>
      <c r="CB45">
        <v>107463</v>
      </c>
      <c r="CC45">
        <v>372711</v>
      </c>
      <c r="CD45">
        <v>66576</v>
      </c>
      <c r="CE45">
        <v>264570</v>
      </c>
      <c r="CF45">
        <v>16959</v>
      </c>
      <c r="CG45">
        <v>130368</v>
      </c>
      <c r="CH45">
        <v>3</v>
      </c>
      <c r="CI45">
        <v>402</v>
      </c>
      <c r="CJ45">
        <v>478480</v>
      </c>
      <c r="CK45">
        <v>4980091</v>
      </c>
      <c r="CL45">
        <v>816</v>
      </c>
      <c r="CM45">
        <v>492625</v>
      </c>
      <c r="CN45">
        <v>4977029</v>
      </c>
      <c r="CO45">
        <v>42752.3</v>
      </c>
      <c r="CP45">
        <v>46256.77</v>
      </c>
      <c r="CQ45">
        <v>42.752299999999998</v>
      </c>
      <c r="CR45">
        <v>46.256770000000003</v>
      </c>
      <c r="CS45">
        <f t="shared" si="1"/>
        <v>895.86585365853659</v>
      </c>
    </row>
    <row r="46" spans="1:97">
      <c r="A46" t="s">
        <v>216</v>
      </c>
      <c r="B46" t="s">
        <v>182</v>
      </c>
      <c r="C46" t="s">
        <v>216</v>
      </c>
      <c r="D46">
        <v>54901</v>
      </c>
      <c r="E46">
        <v>603</v>
      </c>
      <c r="F46">
        <v>320.0659</v>
      </c>
      <c r="G46">
        <v>50656</v>
      </c>
      <c r="H46">
        <v>556.01959999999997</v>
      </c>
      <c r="I46">
        <v>78328</v>
      </c>
      <c r="J46">
        <v>0.87</v>
      </c>
      <c r="K46">
        <v>2799</v>
      </c>
      <c r="L46">
        <v>2337</v>
      </c>
      <c r="M46">
        <v>2530</v>
      </c>
      <c r="N46">
        <v>2068</v>
      </c>
      <c r="O46">
        <v>5060</v>
      </c>
      <c r="P46">
        <v>2068</v>
      </c>
      <c r="Q46">
        <v>463</v>
      </c>
      <c r="R46">
        <v>0.1120794</v>
      </c>
      <c r="S46">
        <v>1.2234039999999999</v>
      </c>
      <c r="T46">
        <v>0.40819620000000001</v>
      </c>
      <c r="U46">
        <v>0.19244620000000001</v>
      </c>
      <c r="V46">
        <v>0.27058789999999999</v>
      </c>
      <c r="W46">
        <v>0.72941210000000001</v>
      </c>
      <c r="X46">
        <v>5.9199999999999997E-4</v>
      </c>
      <c r="Y46" s="2">
        <f t="shared" si="0"/>
        <v>0.59199999999999997</v>
      </c>
      <c r="Z46">
        <v>87924689</v>
      </c>
      <c r="AA46">
        <v>65094640</v>
      </c>
      <c r="AB46">
        <v>12500</v>
      </c>
      <c r="AC46">
        <v>1.35</v>
      </c>
      <c r="AD46">
        <v>0.55000000000000004</v>
      </c>
      <c r="AE46">
        <v>0.78</v>
      </c>
      <c r="AF46">
        <v>3.08</v>
      </c>
      <c r="AG46">
        <v>41307.56</v>
      </c>
      <c r="AH46">
        <v>445581.4</v>
      </c>
      <c r="AI46">
        <v>15008</v>
      </c>
      <c r="AJ46">
        <v>486889</v>
      </c>
      <c r="AK46">
        <v>91</v>
      </c>
      <c r="AL46">
        <v>5</v>
      </c>
      <c r="AM46">
        <v>35</v>
      </c>
      <c r="AN46">
        <v>34</v>
      </c>
      <c r="AO46">
        <v>72</v>
      </c>
      <c r="AP46">
        <v>2340</v>
      </c>
      <c r="AQ46">
        <v>2</v>
      </c>
      <c r="AR46">
        <v>31</v>
      </c>
      <c r="AS46">
        <v>16</v>
      </c>
      <c r="AT46">
        <v>0</v>
      </c>
      <c r="AU46">
        <v>15008</v>
      </c>
      <c r="AV46">
        <v>14177</v>
      </c>
      <c r="AW46">
        <v>12123</v>
      </c>
      <c r="AX46">
        <v>430965</v>
      </c>
      <c r="AY46">
        <v>1552</v>
      </c>
      <c r="AZ46">
        <v>9235</v>
      </c>
      <c r="BA46">
        <v>3829</v>
      </c>
      <c r="BB46">
        <v>0</v>
      </c>
      <c r="BC46">
        <v>1443541</v>
      </c>
      <c r="BD46">
        <v>258</v>
      </c>
      <c r="BE46">
        <v>1501952</v>
      </c>
      <c r="BF46">
        <v>44</v>
      </c>
      <c r="BG46">
        <v>603580</v>
      </c>
      <c r="BH46">
        <v>29126</v>
      </c>
      <c r="BI46">
        <v>20.72306</v>
      </c>
      <c r="BJ46">
        <v>25.70722</v>
      </c>
      <c r="BK46">
        <v>25.70722</v>
      </c>
      <c r="BL46">
        <v>25.70722</v>
      </c>
      <c r="BM46">
        <v>463686.6</v>
      </c>
      <c r="BN46">
        <v>4966255</v>
      </c>
      <c r="BO46">
        <v>1025.4490000000001</v>
      </c>
      <c r="BP46">
        <v>91.104709999999997</v>
      </c>
      <c r="BQ46">
        <v>0.15058630000000001</v>
      </c>
      <c r="BR46">
        <v>11.255710000000001</v>
      </c>
      <c r="BS46">
        <v>444023.7</v>
      </c>
      <c r="BT46">
        <v>235562.8</v>
      </c>
      <c r="BU46">
        <v>409691.3</v>
      </c>
      <c r="BV46" s="1">
        <v>39050000000</v>
      </c>
      <c r="BW46" s="1">
        <v>101500000000</v>
      </c>
      <c r="BX46" s="1">
        <v>13320000000</v>
      </c>
      <c r="BY46" s="1">
        <v>32470000000</v>
      </c>
      <c r="BZ46" s="1">
        <v>43960000000</v>
      </c>
      <c r="CA46" s="1">
        <v>80700000000</v>
      </c>
      <c r="CB46">
        <v>709989</v>
      </c>
      <c r="CC46">
        <v>1846349</v>
      </c>
      <c r="CD46">
        <v>434811</v>
      </c>
      <c r="CE46">
        <v>1059434</v>
      </c>
      <c r="CF46">
        <v>816045</v>
      </c>
      <c r="CG46">
        <v>1497447</v>
      </c>
      <c r="CH46">
        <v>3</v>
      </c>
      <c r="CI46">
        <v>402</v>
      </c>
      <c r="CJ46">
        <v>478480</v>
      </c>
      <c r="CK46">
        <v>4980091</v>
      </c>
      <c r="CL46">
        <v>816</v>
      </c>
      <c r="CM46">
        <v>492625</v>
      </c>
      <c r="CN46">
        <v>4977029</v>
      </c>
      <c r="CO46">
        <v>20255.71</v>
      </c>
      <c r="CP46">
        <v>30879.14</v>
      </c>
      <c r="CQ46">
        <v>20.255700000000001</v>
      </c>
      <c r="CR46">
        <v>30.87914</v>
      </c>
      <c r="CS46">
        <f t="shared" si="1"/>
        <v>1168.1063829787233</v>
      </c>
    </row>
    <row r="47" spans="1:97">
      <c r="A47" t="s">
        <v>217</v>
      </c>
      <c r="B47" t="s">
        <v>182</v>
      </c>
      <c r="C47" t="s">
        <v>217</v>
      </c>
      <c r="D47">
        <v>47425</v>
      </c>
      <c r="E47">
        <v>1146</v>
      </c>
      <c r="F47">
        <v>512.39030000000002</v>
      </c>
      <c r="G47">
        <v>53124</v>
      </c>
      <c r="H47">
        <v>1283.8109999999999</v>
      </c>
      <c r="I47">
        <v>66019</v>
      </c>
      <c r="J47">
        <v>0.84</v>
      </c>
      <c r="K47">
        <v>2581</v>
      </c>
      <c r="L47">
        <v>1907</v>
      </c>
      <c r="M47">
        <v>2277</v>
      </c>
      <c r="N47">
        <v>1603</v>
      </c>
      <c r="O47">
        <v>4554</v>
      </c>
      <c r="P47">
        <v>1603</v>
      </c>
      <c r="Q47">
        <v>675</v>
      </c>
      <c r="R47">
        <v>0.21087159999999999</v>
      </c>
      <c r="S47">
        <v>1.4204619999999999</v>
      </c>
      <c r="T47">
        <v>0.47407870000000002</v>
      </c>
      <c r="U47">
        <v>0.16743430000000001</v>
      </c>
      <c r="V47">
        <v>0.1166418</v>
      </c>
      <c r="W47">
        <v>0.88335819999999998</v>
      </c>
      <c r="X47">
        <v>8.8699999999999998E-4</v>
      </c>
      <c r="Y47" s="2">
        <f t="shared" si="0"/>
        <v>0.88700000000000001</v>
      </c>
      <c r="Z47">
        <v>53259648</v>
      </c>
      <c r="AA47">
        <v>40323794</v>
      </c>
      <c r="AB47">
        <v>12500</v>
      </c>
      <c r="AC47">
        <v>1.32</v>
      </c>
      <c r="AD47">
        <v>0.41</v>
      </c>
      <c r="AE47">
        <v>0.52</v>
      </c>
      <c r="AF47">
        <v>5.05</v>
      </c>
      <c r="AG47">
        <v>19262.169999999998</v>
      </c>
      <c r="AH47">
        <v>361985.9</v>
      </c>
      <c r="AI47">
        <v>19262</v>
      </c>
      <c r="AJ47">
        <v>381248</v>
      </c>
      <c r="AK47">
        <v>41</v>
      </c>
      <c r="AL47">
        <v>9</v>
      </c>
      <c r="AM47">
        <v>70</v>
      </c>
      <c r="AN47">
        <v>0</v>
      </c>
      <c r="AO47">
        <v>0</v>
      </c>
      <c r="AP47">
        <v>2131</v>
      </c>
      <c r="AQ47">
        <v>0</v>
      </c>
      <c r="AR47">
        <v>76</v>
      </c>
      <c r="AS47">
        <v>0</v>
      </c>
      <c r="AT47">
        <v>0</v>
      </c>
      <c r="AU47">
        <v>19262</v>
      </c>
      <c r="AV47">
        <v>0</v>
      </c>
      <c r="AW47">
        <v>0</v>
      </c>
      <c r="AX47">
        <v>347434</v>
      </c>
      <c r="AY47">
        <v>0</v>
      </c>
      <c r="AZ47">
        <v>14552</v>
      </c>
      <c r="BA47">
        <v>0</v>
      </c>
      <c r="BB47">
        <v>0</v>
      </c>
      <c r="BC47">
        <v>1520716</v>
      </c>
      <c r="BD47">
        <v>222</v>
      </c>
      <c r="BE47">
        <v>1506300</v>
      </c>
      <c r="BF47">
        <v>51</v>
      </c>
      <c r="BG47">
        <v>427965</v>
      </c>
      <c r="BH47">
        <v>21008</v>
      </c>
      <c r="BI47">
        <v>20.37152</v>
      </c>
      <c r="BJ47">
        <v>26.396850000000001</v>
      </c>
      <c r="BK47">
        <v>26.396850000000001</v>
      </c>
      <c r="BL47">
        <v>26.396850000000001</v>
      </c>
      <c r="BM47">
        <v>471558.1</v>
      </c>
      <c r="BN47">
        <v>4970949</v>
      </c>
      <c r="BO47">
        <v>777.17610000000002</v>
      </c>
      <c r="BP47">
        <v>41.379919999999998</v>
      </c>
      <c r="BQ47">
        <v>5.0096799999999997E-2</v>
      </c>
      <c r="BR47">
        <v>18.781479999999998</v>
      </c>
      <c r="BS47">
        <v>931184.4</v>
      </c>
      <c r="BT47">
        <v>412489.6</v>
      </c>
      <c r="BU47">
        <v>1043084</v>
      </c>
      <c r="BV47" s="1">
        <v>53500000000</v>
      </c>
      <c r="BW47" s="1">
        <v>103000000000</v>
      </c>
      <c r="BX47" s="1">
        <v>14510000000</v>
      </c>
      <c r="BY47" s="1">
        <v>26290000000</v>
      </c>
      <c r="BZ47" s="1">
        <v>48860000000</v>
      </c>
      <c r="CA47" s="1">
        <v>73600000000</v>
      </c>
      <c r="CB47">
        <v>1228764</v>
      </c>
      <c r="CC47">
        <v>2366272</v>
      </c>
      <c r="CD47">
        <v>712459</v>
      </c>
      <c r="CE47">
        <v>1290321</v>
      </c>
      <c r="CF47">
        <v>1075663</v>
      </c>
      <c r="CG47">
        <v>1619469</v>
      </c>
      <c r="CH47">
        <v>3</v>
      </c>
      <c r="CI47">
        <v>402</v>
      </c>
      <c r="CJ47">
        <v>478480</v>
      </c>
      <c r="CK47">
        <v>4980091</v>
      </c>
      <c r="CL47">
        <v>816</v>
      </c>
      <c r="CM47">
        <v>492625</v>
      </c>
      <c r="CN47">
        <v>4977029</v>
      </c>
      <c r="CO47">
        <v>11467.28</v>
      </c>
      <c r="CP47">
        <v>21926.89</v>
      </c>
      <c r="CQ47">
        <v>11.467280000000001</v>
      </c>
      <c r="CR47">
        <v>21.92689</v>
      </c>
      <c r="CS47">
        <f t="shared" si="1"/>
        <v>1508.8427947598254</v>
      </c>
    </row>
    <row r="48" spans="1:97">
      <c r="A48" t="s">
        <v>218</v>
      </c>
      <c r="C48" t="s">
        <v>218</v>
      </c>
      <c r="D48">
        <v>472</v>
      </c>
      <c r="E48">
        <v>110</v>
      </c>
      <c r="F48">
        <v>65.25</v>
      </c>
      <c r="G48">
        <v>124</v>
      </c>
      <c r="H48">
        <v>29.026119999999999</v>
      </c>
      <c r="I48">
        <v>67625</v>
      </c>
      <c r="J48">
        <v>0.88</v>
      </c>
      <c r="K48">
        <v>64</v>
      </c>
      <c r="L48">
        <v>60</v>
      </c>
      <c r="M48">
        <v>46</v>
      </c>
      <c r="N48">
        <v>42</v>
      </c>
      <c r="O48">
        <v>92</v>
      </c>
      <c r="P48">
        <v>42</v>
      </c>
      <c r="Q48">
        <v>5</v>
      </c>
      <c r="R48">
        <v>6.3291100000000003E-2</v>
      </c>
      <c r="S48">
        <v>1.0952379999999999</v>
      </c>
      <c r="T48">
        <v>0.38333329999999999</v>
      </c>
      <c r="U48">
        <v>0.27023789999999998</v>
      </c>
      <c r="V48">
        <v>0.69008970000000003</v>
      </c>
      <c r="W48">
        <v>0.30991030000000003</v>
      </c>
      <c r="X48">
        <v>2.6713000000000001E-2</v>
      </c>
      <c r="Y48" s="2">
        <f t="shared" si="0"/>
        <v>26.713000000000001</v>
      </c>
      <c r="Z48">
        <v>17398566</v>
      </c>
      <c r="AA48">
        <v>9704553</v>
      </c>
      <c r="AB48">
        <v>10482</v>
      </c>
      <c r="AC48">
        <v>1.79</v>
      </c>
      <c r="AD48">
        <v>0</v>
      </c>
      <c r="AE48">
        <v>0</v>
      </c>
      <c r="AF48">
        <v>0</v>
      </c>
      <c r="AG48">
        <v>0</v>
      </c>
      <c r="AH48">
        <v>12430.94</v>
      </c>
      <c r="AI48">
        <v>0</v>
      </c>
      <c r="AJ48">
        <v>12431</v>
      </c>
      <c r="AK48">
        <v>4</v>
      </c>
      <c r="AL48">
        <v>3</v>
      </c>
      <c r="AM48">
        <v>0</v>
      </c>
      <c r="AN48">
        <v>0</v>
      </c>
      <c r="AO48">
        <v>0</v>
      </c>
      <c r="AP48">
        <v>46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12431</v>
      </c>
      <c r="AY48">
        <v>0</v>
      </c>
      <c r="AZ48">
        <v>0</v>
      </c>
      <c r="BA48">
        <v>0</v>
      </c>
      <c r="BB48">
        <v>0</v>
      </c>
      <c r="BC48">
        <v>12011</v>
      </c>
      <c r="BD48">
        <v>6</v>
      </c>
      <c r="BE48">
        <v>12011</v>
      </c>
      <c r="BF48">
        <v>41</v>
      </c>
      <c r="BG48">
        <v>7180</v>
      </c>
      <c r="BH48">
        <v>261</v>
      </c>
      <c r="BI48">
        <v>27.50958</v>
      </c>
      <c r="BJ48">
        <v>25.778839999999999</v>
      </c>
      <c r="BK48">
        <v>25.778839999999999</v>
      </c>
      <c r="BL48">
        <v>25.778839999999999</v>
      </c>
      <c r="BM48">
        <v>474302.9</v>
      </c>
      <c r="BN48">
        <v>4934621</v>
      </c>
      <c r="BO48">
        <v>33.692630000000001</v>
      </c>
      <c r="BP48">
        <v>4.2720140000000004</v>
      </c>
      <c r="BQ48">
        <v>0.23733409999999999</v>
      </c>
      <c r="BR48">
        <v>7.8868260000000001</v>
      </c>
      <c r="BS48">
        <v>46467.35</v>
      </c>
      <c r="BT48">
        <v>25694.87</v>
      </c>
      <c r="BU48">
        <v>12207.52</v>
      </c>
      <c r="CH48">
        <v>1</v>
      </c>
      <c r="CI48">
        <v>402</v>
      </c>
      <c r="CJ48">
        <v>478480</v>
      </c>
      <c r="CK48">
        <v>4980091</v>
      </c>
      <c r="CL48">
        <v>816</v>
      </c>
      <c r="CM48">
        <v>492625</v>
      </c>
      <c r="CN48">
        <v>4977029</v>
      </c>
      <c r="CO48">
        <v>45661.46</v>
      </c>
      <c r="CP48">
        <v>46196.71</v>
      </c>
      <c r="CQ48">
        <v>45.661459999999998</v>
      </c>
      <c r="CR48">
        <v>46.196719999999999</v>
      </c>
      <c r="CS48">
        <f t="shared" si="1"/>
        <v>460.76190476190476</v>
      </c>
    </row>
    <row r="49" spans="1:97">
      <c r="A49" t="s">
        <v>219</v>
      </c>
      <c r="B49" t="s">
        <v>163</v>
      </c>
      <c r="C49" t="s">
        <v>219</v>
      </c>
      <c r="D49">
        <v>1638</v>
      </c>
      <c r="E49">
        <v>19</v>
      </c>
      <c r="F49">
        <v>10.114940000000001</v>
      </c>
      <c r="G49">
        <v>205</v>
      </c>
      <c r="H49">
        <v>2.3556889999999999</v>
      </c>
      <c r="I49">
        <v>68500</v>
      </c>
      <c r="J49">
        <v>0.87</v>
      </c>
      <c r="K49">
        <v>237</v>
      </c>
      <c r="L49">
        <v>215</v>
      </c>
      <c r="M49">
        <v>137</v>
      </c>
      <c r="N49">
        <v>115</v>
      </c>
      <c r="O49">
        <v>274</v>
      </c>
      <c r="P49">
        <v>115</v>
      </c>
      <c r="Q49">
        <v>23</v>
      </c>
      <c r="R49">
        <v>0.1022222</v>
      </c>
      <c r="S49">
        <v>1.1913039999999999</v>
      </c>
      <c r="T49">
        <v>0.40412979999999998</v>
      </c>
      <c r="U49">
        <v>0.82383850000000003</v>
      </c>
      <c r="V49">
        <v>0.2040727</v>
      </c>
      <c r="W49">
        <v>0.7959273</v>
      </c>
      <c r="X49">
        <v>1.0449999999999999E-2</v>
      </c>
      <c r="Y49" s="2">
        <f t="shared" si="0"/>
        <v>10.45</v>
      </c>
      <c r="Z49">
        <v>86914979</v>
      </c>
      <c r="AA49">
        <v>60916566</v>
      </c>
      <c r="AB49">
        <v>11664</v>
      </c>
      <c r="AC49">
        <v>1.43</v>
      </c>
      <c r="AD49">
        <v>0.91</v>
      </c>
      <c r="AE49">
        <v>0.83</v>
      </c>
      <c r="AF49">
        <v>0</v>
      </c>
      <c r="AG49">
        <v>8052.63</v>
      </c>
      <c r="AH49">
        <v>104813.2</v>
      </c>
      <c r="AI49">
        <v>0</v>
      </c>
      <c r="AJ49">
        <v>112866</v>
      </c>
      <c r="AK49">
        <v>87</v>
      </c>
      <c r="AL49">
        <v>1</v>
      </c>
      <c r="AM49">
        <v>0</v>
      </c>
      <c r="AN49">
        <v>0</v>
      </c>
      <c r="AO49">
        <v>12</v>
      </c>
      <c r="AP49">
        <v>110</v>
      </c>
      <c r="AQ49">
        <v>0</v>
      </c>
      <c r="AR49">
        <v>0</v>
      </c>
      <c r="AS49">
        <v>15</v>
      </c>
      <c r="AT49">
        <v>0</v>
      </c>
      <c r="AU49">
        <v>0</v>
      </c>
      <c r="AV49">
        <v>0</v>
      </c>
      <c r="AW49">
        <v>8053</v>
      </c>
      <c r="AX49">
        <v>93347</v>
      </c>
      <c r="AY49">
        <v>0</v>
      </c>
      <c r="AZ49">
        <v>0</v>
      </c>
      <c r="BA49">
        <v>11467</v>
      </c>
      <c r="BB49">
        <v>0</v>
      </c>
      <c r="BC49">
        <v>0</v>
      </c>
      <c r="BD49">
        <v>0</v>
      </c>
      <c r="BE49">
        <v>88843</v>
      </c>
      <c r="BF49">
        <v>87</v>
      </c>
      <c r="BG49">
        <v>21225</v>
      </c>
      <c r="BH49">
        <v>880</v>
      </c>
      <c r="BI49">
        <v>24.119319999999998</v>
      </c>
      <c r="BJ49">
        <v>28.846640000000001</v>
      </c>
      <c r="BK49">
        <v>28.846640000000001</v>
      </c>
      <c r="BL49">
        <v>28.846640000000001</v>
      </c>
      <c r="BM49">
        <v>492613.8</v>
      </c>
      <c r="BN49">
        <v>4946929</v>
      </c>
      <c r="BO49">
        <v>305.81299999999999</v>
      </c>
      <c r="BP49">
        <v>87.023390000000006</v>
      </c>
      <c r="BQ49">
        <v>0.91603570000000001</v>
      </c>
      <c r="BR49">
        <v>3.5141469999999999</v>
      </c>
      <c r="BS49">
        <v>15650.83</v>
      </c>
      <c r="BT49">
        <v>8408.2620000000006</v>
      </c>
      <c r="BU49">
        <v>1958.7429999999999</v>
      </c>
      <c r="BV49" s="1">
        <v>422300000</v>
      </c>
      <c r="BW49" s="1">
        <v>1273000000</v>
      </c>
      <c r="BX49" s="1">
        <v>130900000</v>
      </c>
      <c r="BY49" s="1">
        <v>421600000</v>
      </c>
      <c r="BZ49">
        <v>13335335</v>
      </c>
      <c r="CA49" s="1">
        <v>62900000</v>
      </c>
      <c r="CB49">
        <v>184431</v>
      </c>
      <c r="CC49">
        <v>555693</v>
      </c>
      <c r="CD49">
        <v>109863</v>
      </c>
      <c r="CE49">
        <v>353903</v>
      </c>
      <c r="CF49">
        <v>61453</v>
      </c>
      <c r="CG49">
        <v>289895</v>
      </c>
      <c r="CH49">
        <v>3</v>
      </c>
      <c r="CI49">
        <v>402</v>
      </c>
      <c r="CJ49">
        <v>478480</v>
      </c>
      <c r="CK49">
        <v>4980091</v>
      </c>
      <c r="CL49">
        <v>816</v>
      </c>
      <c r="CM49">
        <v>492625</v>
      </c>
      <c r="CN49">
        <v>4977029</v>
      </c>
      <c r="CO49">
        <v>36048.81</v>
      </c>
      <c r="CP49">
        <v>30100.5</v>
      </c>
      <c r="CQ49">
        <v>36.048810000000003</v>
      </c>
      <c r="CR49">
        <v>30.1005</v>
      </c>
      <c r="CS49">
        <f t="shared" si="1"/>
        <v>1239.1826086956521</v>
      </c>
    </row>
    <row r="50" spans="1:97">
      <c r="A50" t="s">
        <v>220</v>
      </c>
      <c r="B50" t="s">
        <v>163</v>
      </c>
      <c r="C50" t="s">
        <v>220</v>
      </c>
      <c r="D50">
        <v>1490</v>
      </c>
      <c r="E50">
        <v>16</v>
      </c>
      <c r="F50">
        <v>8.4193540000000002</v>
      </c>
      <c r="G50">
        <v>185</v>
      </c>
      <c r="H50">
        <v>1.9951939999999999</v>
      </c>
      <c r="I50">
        <v>66875</v>
      </c>
      <c r="J50">
        <v>0.84</v>
      </c>
      <c r="K50">
        <v>251</v>
      </c>
      <c r="L50">
        <v>220</v>
      </c>
      <c r="M50">
        <v>180</v>
      </c>
      <c r="N50">
        <v>149</v>
      </c>
      <c r="O50">
        <v>360</v>
      </c>
      <c r="P50">
        <v>149</v>
      </c>
      <c r="Q50">
        <v>32</v>
      </c>
      <c r="R50">
        <v>0.10921500000000001</v>
      </c>
      <c r="S50">
        <v>1.208054</v>
      </c>
      <c r="T50">
        <v>0.40816330000000001</v>
      </c>
      <c r="U50">
        <v>0.74695089999999997</v>
      </c>
      <c r="V50">
        <v>0.2017851</v>
      </c>
      <c r="W50">
        <v>0.79821489999999995</v>
      </c>
      <c r="X50">
        <v>8.1630000000000001E-3</v>
      </c>
      <c r="Y50" s="2">
        <f t="shared" si="0"/>
        <v>8.1630000000000003</v>
      </c>
      <c r="Z50">
        <v>88863236</v>
      </c>
      <c r="AA50">
        <v>65780125</v>
      </c>
      <c r="AB50">
        <v>12500</v>
      </c>
      <c r="AC50">
        <v>1.35</v>
      </c>
      <c r="AD50">
        <v>0.77</v>
      </c>
      <c r="AE50">
        <v>0.38</v>
      </c>
      <c r="AF50">
        <v>0</v>
      </c>
      <c r="AG50">
        <v>0</v>
      </c>
      <c r="AH50">
        <v>134451.20000000001</v>
      </c>
      <c r="AI50">
        <v>0</v>
      </c>
      <c r="AJ50">
        <v>134451</v>
      </c>
      <c r="AK50">
        <v>93</v>
      </c>
      <c r="AL50">
        <v>1</v>
      </c>
      <c r="AM50">
        <v>0</v>
      </c>
      <c r="AN50">
        <v>0</v>
      </c>
      <c r="AO50">
        <v>0</v>
      </c>
      <c r="AP50">
        <v>145</v>
      </c>
      <c r="AQ50">
        <v>0</v>
      </c>
      <c r="AR50">
        <v>2</v>
      </c>
      <c r="AS50">
        <v>33</v>
      </c>
      <c r="AT50">
        <v>0</v>
      </c>
      <c r="AU50">
        <v>0</v>
      </c>
      <c r="AV50">
        <v>0</v>
      </c>
      <c r="AW50">
        <v>0</v>
      </c>
      <c r="AX50">
        <v>125346</v>
      </c>
      <c r="AY50">
        <v>0</v>
      </c>
      <c r="AZ50">
        <v>537</v>
      </c>
      <c r="BA50">
        <v>8569</v>
      </c>
      <c r="BB50">
        <v>0</v>
      </c>
      <c r="BC50">
        <v>0</v>
      </c>
      <c r="BD50">
        <v>0</v>
      </c>
      <c r="BE50">
        <v>40077</v>
      </c>
      <c r="BF50">
        <v>43</v>
      </c>
      <c r="BG50">
        <v>18750</v>
      </c>
      <c r="BH50">
        <v>783</v>
      </c>
      <c r="BI50">
        <v>23.946359999999999</v>
      </c>
      <c r="BJ50">
        <v>28.297270000000001</v>
      </c>
      <c r="BK50">
        <v>28.297270000000001</v>
      </c>
      <c r="BL50">
        <v>28.297270000000001</v>
      </c>
      <c r="BM50">
        <v>482724.7</v>
      </c>
      <c r="BN50">
        <v>4937124</v>
      </c>
      <c r="BO50">
        <v>355.46820000000002</v>
      </c>
      <c r="BP50">
        <v>92.722790000000003</v>
      </c>
      <c r="BQ50">
        <v>0.96586249999999996</v>
      </c>
      <c r="BR50">
        <v>3.833666</v>
      </c>
      <c r="BS50">
        <v>14342.39</v>
      </c>
      <c r="BT50">
        <v>7536.9769999999999</v>
      </c>
      <c r="BU50">
        <v>1780.7670000000001</v>
      </c>
      <c r="BV50" s="1">
        <v>252400000</v>
      </c>
      <c r="BW50" s="1">
        <v>711400000</v>
      </c>
      <c r="BX50">
        <v>83914908</v>
      </c>
      <c r="BY50" s="1">
        <v>255500000</v>
      </c>
      <c r="BZ50">
        <v>9904860</v>
      </c>
      <c r="CA50" s="1">
        <v>45600000</v>
      </c>
      <c r="CB50">
        <v>169410</v>
      </c>
      <c r="CC50">
        <v>477420</v>
      </c>
      <c r="CD50">
        <v>98267</v>
      </c>
      <c r="CE50">
        <v>299146</v>
      </c>
      <c r="CF50">
        <v>50535</v>
      </c>
      <c r="CG50">
        <v>232854</v>
      </c>
      <c r="CH50">
        <v>3</v>
      </c>
      <c r="CI50">
        <v>402</v>
      </c>
      <c r="CJ50">
        <v>478480</v>
      </c>
      <c r="CK50">
        <v>4980091</v>
      </c>
      <c r="CL50">
        <v>816</v>
      </c>
      <c r="CM50">
        <v>492625</v>
      </c>
      <c r="CN50">
        <v>4977029</v>
      </c>
      <c r="CO50">
        <v>43176.66</v>
      </c>
      <c r="CP50">
        <v>41115.26</v>
      </c>
      <c r="CQ50">
        <v>43.176650000000002</v>
      </c>
      <c r="CR50">
        <v>41.115259999999999</v>
      </c>
      <c r="CS50">
        <f t="shared" si="1"/>
        <v>430</v>
      </c>
    </row>
    <row r="51" spans="1:97">
      <c r="A51" t="s">
        <v>221</v>
      </c>
      <c r="B51" t="s">
        <v>182</v>
      </c>
      <c r="C51" t="s">
        <v>221</v>
      </c>
      <c r="D51">
        <v>2393</v>
      </c>
      <c r="E51">
        <v>1052</v>
      </c>
      <c r="F51">
        <v>695.5</v>
      </c>
      <c r="G51">
        <v>1784</v>
      </c>
      <c r="H51">
        <v>784.30529999999999</v>
      </c>
      <c r="I51">
        <v>43598</v>
      </c>
      <c r="J51">
        <v>0.9</v>
      </c>
      <c r="K51">
        <v>196</v>
      </c>
      <c r="L51">
        <v>158</v>
      </c>
      <c r="M51">
        <v>165</v>
      </c>
      <c r="N51">
        <v>127</v>
      </c>
      <c r="O51">
        <v>330</v>
      </c>
      <c r="P51">
        <v>127</v>
      </c>
      <c r="Q51">
        <v>39</v>
      </c>
      <c r="R51">
        <v>0.1566265</v>
      </c>
      <c r="S51">
        <v>1.299213</v>
      </c>
      <c r="T51">
        <v>0.44</v>
      </c>
      <c r="U51">
        <v>0.1208659</v>
      </c>
      <c r="V51">
        <v>0.28636149999999999</v>
      </c>
      <c r="W51">
        <v>0.71363849999999995</v>
      </c>
      <c r="X51">
        <v>1.0311000000000001E-2</v>
      </c>
      <c r="Y51" s="2">
        <f t="shared" si="0"/>
        <v>10.311</v>
      </c>
      <c r="Z51">
        <v>10906644</v>
      </c>
      <c r="AA51">
        <v>8373820</v>
      </c>
      <c r="AB51">
        <v>11716</v>
      </c>
      <c r="AC51">
        <v>1.3</v>
      </c>
      <c r="AD51">
        <v>0.28000000000000003</v>
      </c>
      <c r="AE51">
        <v>0.33</v>
      </c>
      <c r="AF51">
        <v>0</v>
      </c>
      <c r="AG51">
        <v>1216.23</v>
      </c>
      <c r="AH51">
        <v>18726.650000000001</v>
      </c>
      <c r="AI51">
        <v>0</v>
      </c>
      <c r="AJ51">
        <v>19943</v>
      </c>
      <c r="AK51">
        <v>2</v>
      </c>
      <c r="AL51">
        <v>9</v>
      </c>
      <c r="AM51">
        <v>0</v>
      </c>
      <c r="AN51">
        <v>0</v>
      </c>
      <c r="AO51">
        <v>8</v>
      </c>
      <c r="AP51">
        <v>157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1216</v>
      </c>
      <c r="AX51">
        <v>18727</v>
      </c>
      <c r="AY51">
        <v>0</v>
      </c>
      <c r="AZ51">
        <v>0</v>
      </c>
      <c r="BA51">
        <v>0</v>
      </c>
      <c r="BB51">
        <v>0</v>
      </c>
      <c r="BC51">
        <v>45657</v>
      </c>
      <c r="BD51">
        <v>12</v>
      </c>
      <c r="BE51">
        <v>45340</v>
      </c>
      <c r="BF51">
        <v>30</v>
      </c>
      <c r="BG51">
        <v>30885</v>
      </c>
      <c r="BH51">
        <v>1391</v>
      </c>
      <c r="BI51">
        <v>22.20345</v>
      </c>
      <c r="BJ51">
        <v>27.576309999999999</v>
      </c>
      <c r="BK51">
        <v>27.576309999999999</v>
      </c>
      <c r="BL51">
        <v>27.576309999999999</v>
      </c>
      <c r="BM51">
        <v>455297.6</v>
      </c>
      <c r="BN51">
        <v>4972276</v>
      </c>
      <c r="BO51">
        <v>56.3491</v>
      </c>
      <c r="BP51">
        <v>2.2746240000000002</v>
      </c>
      <c r="BQ51">
        <v>2.7405100000000002E-2</v>
      </c>
      <c r="BR51">
        <v>24.772919999999999</v>
      </c>
      <c r="BS51">
        <v>959308.1</v>
      </c>
      <c r="BT51">
        <v>557625.4</v>
      </c>
      <c r="BU51">
        <v>715171.6</v>
      </c>
      <c r="BV51" s="1">
        <v>642400000</v>
      </c>
      <c r="BW51" s="1">
        <v>1912000000</v>
      </c>
      <c r="BX51" s="1">
        <v>225100000</v>
      </c>
      <c r="BY51" s="1">
        <v>685100000</v>
      </c>
      <c r="BZ51" s="1">
        <v>629200000</v>
      </c>
      <c r="CA51" s="1">
        <v>1760000000</v>
      </c>
      <c r="CB51">
        <v>476534</v>
      </c>
      <c r="CC51">
        <v>1418760</v>
      </c>
      <c r="CD51">
        <v>283573</v>
      </c>
      <c r="CE51">
        <v>863268</v>
      </c>
      <c r="CF51">
        <v>390339</v>
      </c>
      <c r="CG51">
        <v>1089546</v>
      </c>
      <c r="CH51">
        <v>3</v>
      </c>
      <c r="CI51">
        <v>402</v>
      </c>
      <c r="CJ51">
        <v>478480</v>
      </c>
      <c r="CK51">
        <v>4980091</v>
      </c>
      <c r="CL51">
        <v>816</v>
      </c>
      <c r="CM51">
        <v>492625</v>
      </c>
      <c r="CN51">
        <v>4977029</v>
      </c>
      <c r="CO51">
        <v>24464.25</v>
      </c>
      <c r="CP51">
        <v>37628.83</v>
      </c>
      <c r="CQ51">
        <v>24.46425</v>
      </c>
      <c r="CR51">
        <v>37.628830000000001</v>
      </c>
      <c r="CS51">
        <f t="shared" si="1"/>
        <v>565.27559055118115</v>
      </c>
    </row>
    <row r="52" spans="1:97">
      <c r="A52" t="s">
        <v>29</v>
      </c>
      <c r="B52" t="s">
        <v>165</v>
      </c>
      <c r="C52" t="s">
        <v>29</v>
      </c>
      <c r="D52">
        <v>5572</v>
      </c>
      <c r="E52">
        <v>961</v>
      </c>
      <c r="F52">
        <v>461.66669999999999</v>
      </c>
      <c r="G52">
        <v>4467</v>
      </c>
      <c r="H52">
        <v>770.14359999999999</v>
      </c>
      <c r="I52">
        <v>51382</v>
      </c>
      <c r="J52">
        <v>0.63</v>
      </c>
      <c r="K52">
        <v>348</v>
      </c>
      <c r="L52">
        <v>248</v>
      </c>
      <c r="M52">
        <v>296</v>
      </c>
      <c r="N52">
        <v>196</v>
      </c>
      <c r="O52">
        <v>592</v>
      </c>
      <c r="P52">
        <v>196</v>
      </c>
      <c r="Q52">
        <v>101</v>
      </c>
      <c r="R52">
        <v>0.26098189999999999</v>
      </c>
      <c r="S52">
        <v>1.5102040000000001</v>
      </c>
      <c r="T52">
        <v>0.50859109999999996</v>
      </c>
      <c r="U52">
        <v>0.1780273</v>
      </c>
      <c r="V52">
        <v>6.3766100000000006E-2</v>
      </c>
      <c r="W52">
        <v>0.93623389999999995</v>
      </c>
      <c r="X52">
        <v>7.7450000000000001E-3</v>
      </c>
      <c r="Y52" s="2">
        <f t="shared" si="0"/>
        <v>7.7450000000000001</v>
      </c>
      <c r="Z52">
        <v>24022452</v>
      </c>
      <c r="AA52">
        <v>17703722</v>
      </c>
      <c r="AB52">
        <v>12500</v>
      </c>
      <c r="AC52">
        <v>1.36</v>
      </c>
      <c r="AD52">
        <v>0.33</v>
      </c>
      <c r="AE52">
        <v>0.38</v>
      </c>
      <c r="AF52">
        <v>0</v>
      </c>
      <c r="AG52">
        <v>2471.58</v>
      </c>
      <c r="AH52">
        <v>50224.5</v>
      </c>
      <c r="AI52">
        <v>0</v>
      </c>
      <c r="AJ52">
        <v>52696</v>
      </c>
      <c r="AK52">
        <v>6</v>
      </c>
      <c r="AL52">
        <v>9</v>
      </c>
      <c r="AM52">
        <v>0</v>
      </c>
      <c r="AN52">
        <v>0</v>
      </c>
      <c r="AO52">
        <v>10</v>
      </c>
      <c r="AP52">
        <v>282</v>
      </c>
      <c r="AQ52">
        <v>0</v>
      </c>
      <c r="AR52">
        <v>1</v>
      </c>
      <c r="AS52">
        <v>3</v>
      </c>
      <c r="AT52">
        <v>0</v>
      </c>
      <c r="AU52">
        <v>0</v>
      </c>
      <c r="AV52">
        <v>0</v>
      </c>
      <c r="AW52">
        <v>2472</v>
      </c>
      <c r="AX52">
        <v>49554</v>
      </c>
      <c r="AY52">
        <v>0</v>
      </c>
      <c r="AZ52">
        <v>374</v>
      </c>
      <c r="BA52">
        <v>296</v>
      </c>
      <c r="BB52">
        <v>0</v>
      </c>
      <c r="BC52">
        <v>95901</v>
      </c>
      <c r="BD52">
        <v>27</v>
      </c>
      <c r="BE52">
        <v>94410</v>
      </c>
      <c r="BF52">
        <v>27</v>
      </c>
      <c r="BG52">
        <v>52835</v>
      </c>
      <c r="BH52">
        <v>2770</v>
      </c>
      <c r="BI52">
        <v>19.074010000000001</v>
      </c>
      <c r="BJ52">
        <v>27.364879999999999</v>
      </c>
      <c r="BK52">
        <v>27.364879999999999</v>
      </c>
      <c r="BL52">
        <v>27.364879999999999</v>
      </c>
      <c r="BM52">
        <v>486046.3</v>
      </c>
      <c r="BN52">
        <v>4981848</v>
      </c>
      <c r="BO52">
        <v>104.4156</v>
      </c>
      <c r="BP52">
        <v>5.8002180000000001</v>
      </c>
      <c r="BQ52">
        <v>3.7420799999999997E-2</v>
      </c>
      <c r="BR52">
        <v>18.002009999999999</v>
      </c>
      <c r="BS52">
        <v>794759.9</v>
      </c>
      <c r="BT52">
        <v>395097.8</v>
      </c>
      <c r="BU52">
        <v>637148.69999999995</v>
      </c>
      <c r="BV52" s="1">
        <v>2895000000</v>
      </c>
      <c r="BW52" s="1">
        <v>5563000000</v>
      </c>
      <c r="BX52" s="1">
        <v>714500000</v>
      </c>
      <c r="BY52" s="1">
        <v>1334000000</v>
      </c>
      <c r="BZ52" s="1">
        <v>2185000000</v>
      </c>
      <c r="CA52" s="1">
        <v>3900000000</v>
      </c>
      <c r="CB52">
        <v>1289746</v>
      </c>
      <c r="CC52">
        <v>2478164</v>
      </c>
      <c r="CD52">
        <v>719942</v>
      </c>
      <c r="CE52">
        <v>1343936</v>
      </c>
      <c r="CF52">
        <v>918195</v>
      </c>
      <c r="CG52">
        <v>1636851</v>
      </c>
      <c r="CH52">
        <v>3</v>
      </c>
      <c r="CI52">
        <v>402</v>
      </c>
      <c r="CJ52">
        <v>478480</v>
      </c>
      <c r="CK52">
        <v>4980091</v>
      </c>
      <c r="CL52">
        <v>816</v>
      </c>
      <c r="CM52">
        <v>492625</v>
      </c>
      <c r="CN52">
        <v>4977029</v>
      </c>
      <c r="CO52">
        <v>7767.46</v>
      </c>
      <c r="CP52">
        <v>8154.6239999999998</v>
      </c>
      <c r="CQ52">
        <v>7.7674599999999998</v>
      </c>
      <c r="CR52">
        <v>8.1546240000000001</v>
      </c>
      <c r="CS52">
        <f t="shared" si="1"/>
        <v>767.57142857142856</v>
      </c>
    </row>
    <row r="53" spans="1:97">
      <c r="A53" t="s">
        <v>30</v>
      </c>
      <c r="B53" t="s">
        <v>163</v>
      </c>
      <c r="C53" t="s">
        <v>30</v>
      </c>
      <c r="D53">
        <v>12365</v>
      </c>
      <c r="E53">
        <v>387</v>
      </c>
      <c r="F53">
        <v>199.5625</v>
      </c>
      <c r="G53">
        <v>3999</v>
      </c>
      <c r="H53">
        <v>125.24169999999999</v>
      </c>
      <c r="I53">
        <v>61864</v>
      </c>
      <c r="J53">
        <v>0.89</v>
      </c>
      <c r="K53">
        <v>809</v>
      </c>
      <c r="L53">
        <v>624</v>
      </c>
      <c r="M53">
        <v>680</v>
      </c>
      <c r="N53">
        <v>495</v>
      </c>
      <c r="O53">
        <v>1360</v>
      </c>
      <c r="P53">
        <v>495</v>
      </c>
      <c r="Q53">
        <v>186</v>
      </c>
      <c r="R53">
        <v>0.18883249999999999</v>
      </c>
      <c r="S53">
        <v>1.373737</v>
      </c>
      <c r="T53">
        <v>0.45977010000000001</v>
      </c>
      <c r="U53">
        <v>0.1972429</v>
      </c>
      <c r="V53">
        <v>0.1810657</v>
      </c>
      <c r="W53">
        <v>0.8189343</v>
      </c>
      <c r="X53">
        <v>2.7810000000000001E-3</v>
      </c>
      <c r="Y53" s="2">
        <f t="shared" si="0"/>
        <v>2.7810000000000001</v>
      </c>
      <c r="Z53">
        <v>51028348</v>
      </c>
      <c r="AA53">
        <v>38779613</v>
      </c>
      <c r="AB53">
        <v>11914</v>
      </c>
      <c r="AC53">
        <v>1.32</v>
      </c>
      <c r="AD53">
        <v>0.28000000000000003</v>
      </c>
      <c r="AE53">
        <v>0.21</v>
      </c>
      <c r="AF53">
        <v>0</v>
      </c>
      <c r="AG53">
        <v>2255.63</v>
      </c>
      <c r="AH53">
        <v>131869.6</v>
      </c>
      <c r="AI53">
        <v>0</v>
      </c>
      <c r="AJ53">
        <v>134125</v>
      </c>
      <c r="AK53">
        <v>32</v>
      </c>
      <c r="AL53">
        <v>4</v>
      </c>
      <c r="AM53">
        <v>0</v>
      </c>
      <c r="AN53">
        <v>0</v>
      </c>
      <c r="AO53">
        <v>12</v>
      </c>
      <c r="AP53">
        <v>653</v>
      </c>
      <c r="AQ53">
        <v>0</v>
      </c>
      <c r="AR53">
        <v>0</v>
      </c>
      <c r="AS53">
        <v>15</v>
      </c>
      <c r="AT53">
        <v>0</v>
      </c>
      <c r="AU53">
        <v>0</v>
      </c>
      <c r="AV53">
        <v>0</v>
      </c>
      <c r="AW53">
        <v>2256</v>
      </c>
      <c r="AX53">
        <v>130485</v>
      </c>
      <c r="AY53">
        <v>0</v>
      </c>
      <c r="AZ53">
        <v>0</v>
      </c>
      <c r="BA53">
        <v>1385</v>
      </c>
      <c r="BB53">
        <v>0</v>
      </c>
      <c r="BC53">
        <v>133623</v>
      </c>
      <c r="BD53">
        <v>53</v>
      </c>
      <c r="BE53">
        <v>133607</v>
      </c>
      <c r="BF53">
        <v>17</v>
      </c>
      <c r="BG53">
        <v>161605</v>
      </c>
      <c r="BH53">
        <v>6386</v>
      </c>
      <c r="BI53">
        <v>25.306139999999999</v>
      </c>
      <c r="BJ53">
        <v>25.998729999999998</v>
      </c>
      <c r="BK53">
        <v>25.998729999999998</v>
      </c>
      <c r="BL53">
        <v>25.998729999999998</v>
      </c>
      <c r="BM53">
        <v>486173.2</v>
      </c>
      <c r="BN53">
        <v>4944727</v>
      </c>
      <c r="BO53">
        <v>305.70159999999998</v>
      </c>
      <c r="BP53">
        <v>31.93027</v>
      </c>
      <c r="BQ53">
        <v>0.1277211</v>
      </c>
      <c r="BR53">
        <v>9.5740370000000006</v>
      </c>
      <c r="BS53">
        <v>307515.7</v>
      </c>
      <c r="BT53">
        <v>158818.9</v>
      </c>
      <c r="BU53">
        <v>99454.54</v>
      </c>
      <c r="BV53" s="1">
        <v>2659000000</v>
      </c>
      <c r="BW53" s="1">
        <v>7643000000</v>
      </c>
      <c r="BX53" s="1">
        <v>900600000</v>
      </c>
      <c r="BY53" s="1">
        <v>2736000000</v>
      </c>
      <c r="BZ53" s="1">
        <v>244800000</v>
      </c>
      <c r="CA53" s="1">
        <v>1320000000</v>
      </c>
      <c r="CB53">
        <v>228667</v>
      </c>
      <c r="CC53">
        <v>657147</v>
      </c>
      <c r="CD53">
        <v>145057</v>
      </c>
      <c r="CE53">
        <v>440661</v>
      </c>
      <c r="CF53">
        <v>61403</v>
      </c>
      <c r="CG53">
        <v>331383</v>
      </c>
      <c r="CH53">
        <v>3</v>
      </c>
      <c r="CI53">
        <v>402</v>
      </c>
      <c r="CJ53">
        <v>478480</v>
      </c>
      <c r="CK53">
        <v>4980091</v>
      </c>
      <c r="CL53">
        <v>816</v>
      </c>
      <c r="CM53">
        <v>492625</v>
      </c>
      <c r="CN53">
        <v>4977029</v>
      </c>
      <c r="CO53">
        <v>36191.129999999997</v>
      </c>
      <c r="CP53">
        <v>32940.019999999997</v>
      </c>
      <c r="CQ53">
        <v>36.191130000000001</v>
      </c>
      <c r="CR53">
        <v>32.940010000000001</v>
      </c>
      <c r="CS53">
        <f t="shared" si="1"/>
        <v>424.65656565656565</v>
      </c>
    </row>
    <row r="54" spans="1:97">
      <c r="A54" t="s">
        <v>31</v>
      </c>
      <c r="B54" t="s">
        <v>158</v>
      </c>
      <c r="C54" t="s">
        <v>31</v>
      </c>
      <c r="D54">
        <v>14440</v>
      </c>
      <c r="E54">
        <v>157</v>
      </c>
      <c r="F54">
        <v>35.891300000000001</v>
      </c>
      <c r="G54">
        <v>5440</v>
      </c>
      <c r="H54">
        <v>59.188749999999999</v>
      </c>
      <c r="I54">
        <v>44419</v>
      </c>
      <c r="J54">
        <v>0.85</v>
      </c>
      <c r="K54">
        <v>1081</v>
      </c>
      <c r="L54">
        <v>876</v>
      </c>
      <c r="M54">
        <v>927</v>
      </c>
      <c r="N54">
        <v>722</v>
      </c>
      <c r="O54">
        <v>1854</v>
      </c>
      <c r="P54">
        <v>722</v>
      </c>
      <c r="Q54">
        <v>206</v>
      </c>
      <c r="R54">
        <v>0.143155</v>
      </c>
      <c r="S54">
        <v>1.2839339999999999</v>
      </c>
      <c r="T54">
        <v>0.42916670000000001</v>
      </c>
      <c r="U54">
        <v>0.27250340000000001</v>
      </c>
      <c r="V54">
        <v>0.30520760000000002</v>
      </c>
      <c r="W54">
        <v>0.69479239999999998</v>
      </c>
      <c r="X54">
        <v>1.781E-3</v>
      </c>
      <c r="Y54" s="2">
        <f t="shared" si="0"/>
        <v>1.7810000000000001</v>
      </c>
      <c r="Z54">
        <v>86047400</v>
      </c>
      <c r="AA54">
        <v>58503955</v>
      </c>
      <c r="AB54">
        <v>12250</v>
      </c>
      <c r="AC54">
        <v>1.47</v>
      </c>
      <c r="AD54">
        <v>0.79</v>
      </c>
      <c r="AE54">
        <v>0.92</v>
      </c>
      <c r="AF54">
        <v>3.4</v>
      </c>
      <c r="AG54">
        <v>28579.73</v>
      </c>
      <c r="AH54">
        <v>224030.9</v>
      </c>
      <c r="AI54">
        <v>8593</v>
      </c>
      <c r="AJ54">
        <v>252611</v>
      </c>
      <c r="AK54">
        <v>92</v>
      </c>
      <c r="AL54">
        <v>3</v>
      </c>
      <c r="AM54">
        <v>20</v>
      </c>
      <c r="AN54">
        <v>33</v>
      </c>
      <c r="AO54">
        <v>39</v>
      </c>
      <c r="AP54">
        <v>813</v>
      </c>
      <c r="AQ54">
        <v>0</v>
      </c>
      <c r="AR54">
        <v>16</v>
      </c>
      <c r="AS54">
        <v>5</v>
      </c>
      <c r="AT54">
        <v>1</v>
      </c>
      <c r="AU54">
        <v>8593</v>
      </c>
      <c r="AV54">
        <v>9664</v>
      </c>
      <c r="AW54">
        <v>10323</v>
      </c>
      <c r="AX54">
        <v>216158</v>
      </c>
      <c r="AY54">
        <v>0</v>
      </c>
      <c r="AZ54">
        <v>3304</v>
      </c>
      <c r="BA54">
        <v>4493</v>
      </c>
      <c r="BB54">
        <v>76</v>
      </c>
      <c r="BC54">
        <v>379328</v>
      </c>
      <c r="BD54">
        <v>138</v>
      </c>
      <c r="BE54">
        <v>489568</v>
      </c>
      <c r="BF54">
        <v>55</v>
      </c>
      <c r="BG54">
        <v>86790</v>
      </c>
      <c r="BH54">
        <v>3302</v>
      </c>
      <c r="BI54">
        <v>26.28407</v>
      </c>
      <c r="BJ54">
        <v>28.33652</v>
      </c>
      <c r="BK54">
        <v>28.33652</v>
      </c>
      <c r="BL54">
        <v>28.33652</v>
      </c>
      <c r="BM54">
        <v>503275.8</v>
      </c>
      <c r="BN54">
        <v>5011120</v>
      </c>
      <c r="BO54">
        <v>519.80380000000002</v>
      </c>
      <c r="BP54">
        <v>91.909260000000003</v>
      </c>
      <c r="BQ54">
        <v>0.33666400000000002</v>
      </c>
      <c r="BR54">
        <v>5.6556189999999997</v>
      </c>
      <c r="BS54">
        <v>118626.9</v>
      </c>
      <c r="BT54">
        <v>27126.45</v>
      </c>
      <c r="BU54">
        <v>44690.45</v>
      </c>
      <c r="BV54" s="1">
        <v>1967000000</v>
      </c>
      <c r="BW54" s="1">
        <v>12130000000</v>
      </c>
      <c r="BX54" s="1">
        <v>635600000</v>
      </c>
      <c r="BY54" s="1">
        <v>3987000000</v>
      </c>
      <c r="BZ54" s="1">
        <v>470700000</v>
      </c>
      <c r="CA54" s="1">
        <v>3720000000</v>
      </c>
      <c r="CB54">
        <v>136188</v>
      </c>
      <c r="CC54">
        <v>839784</v>
      </c>
      <c r="CD54">
        <v>81281</v>
      </c>
      <c r="CE54">
        <v>509833</v>
      </c>
      <c r="CF54">
        <v>70939</v>
      </c>
      <c r="CG54">
        <v>560094</v>
      </c>
      <c r="CH54">
        <v>3</v>
      </c>
      <c r="CI54">
        <v>402</v>
      </c>
      <c r="CJ54">
        <v>478480</v>
      </c>
      <c r="CK54">
        <v>4980091</v>
      </c>
      <c r="CL54">
        <v>816</v>
      </c>
      <c r="CM54">
        <v>492625</v>
      </c>
      <c r="CN54">
        <v>4977029</v>
      </c>
      <c r="CO54">
        <v>39719.39</v>
      </c>
      <c r="CP54">
        <v>35716.04</v>
      </c>
      <c r="CQ54">
        <v>39.719389999999997</v>
      </c>
      <c r="CR54">
        <v>35.71604</v>
      </c>
      <c r="CS54">
        <f t="shared" si="1"/>
        <v>1100</v>
      </c>
    </row>
    <row r="55" spans="1:97">
      <c r="A55" t="s">
        <v>32</v>
      </c>
      <c r="B55" t="s">
        <v>160</v>
      </c>
      <c r="C55" t="s">
        <v>32</v>
      </c>
      <c r="D55">
        <v>27449</v>
      </c>
      <c r="E55">
        <v>979</v>
      </c>
      <c r="F55">
        <v>530.35709999999995</v>
      </c>
      <c r="G55">
        <v>26279</v>
      </c>
      <c r="H55">
        <v>936.93209999999999</v>
      </c>
      <c r="I55">
        <v>48372</v>
      </c>
      <c r="J55">
        <v>0.87</v>
      </c>
      <c r="K55">
        <v>1558</v>
      </c>
      <c r="L55">
        <v>1142</v>
      </c>
      <c r="M55">
        <v>1348</v>
      </c>
      <c r="N55">
        <v>932</v>
      </c>
      <c r="O55">
        <v>2696</v>
      </c>
      <c r="P55">
        <v>932</v>
      </c>
      <c r="Q55">
        <v>417</v>
      </c>
      <c r="R55">
        <v>0.22431419999999999</v>
      </c>
      <c r="S55">
        <v>1.4463520000000001</v>
      </c>
      <c r="T55">
        <v>0.48315409999999998</v>
      </c>
      <c r="U55">
        <v>0.1748625</v>
      </c>
      <c r="V55">
        <v>0.1018853</v>
      </c>
      <c r="W55">
        <v>0.89811470000000004</v>
      </c>
      <c r="X55">
        <v>1.554E-3</v>
      </c>
      <c r="Y55" s="2">
        <f t="shared" si="0"/>
        <v>1.554</v>
      </c>
      <c r="Z55">
        <v>47346463</v>
      </c>
      <c r="AA55">
        <v>36278955</v>
      </c>
      <c r="AB55">
        <v>12450</v>
      </c>
      <c r="AC55">
        <v>1.31</v>
      </c>
      <c r="AD55">
        <v>0.46</v>
      </c>
      <c r="AE55">
        <v>0.6</v>
      </c>
      <c r="AF55">
        <v>1.86</v>
      </c>
      <c r="AG55">
        <v>17826.57</v>
      </c>
      <c r="AH55">
        <v>217888</v>
      </c>
      <c r="AI55">
        <v>4377</v>
      </c>
      <c r="AJ55">
        <v>235715</v>
      </c>
      <c r="AK55">
        <v>28</v>
      </c>
      <c r="AL55">
        <v>8</v>
      </c>
      <c r="AM55">
        <v>17</v>
      </c>
      <c r="AN55">
        <v>40</v>
      </c>
      <c r="AO55">
        <v>0</v>
      </c>
      <c r="AP55">
        <v>1256</v>
      </c>
      <c r="AQ55">
        <v>0</v>
      </c>
      <c r="AR55">
        <v>35</v>
      </c>
      <c r="AS55">
        <v>0</v>
      </c>
      <c r="AT55">
        <v>0</v>
      </c>
      <c r="AU55">
        <v>4377</v>
      </c>
      <c r="AV55">
        <v>13450</v>
      </c>
      <c r="AW55">
        <v>0</v>
      </c>
      <c r="AX55">
        <v>212734</v>
      </c>
      <c r="AY55">
        <v>0</v>
      </c>
      <c r="AZ55">
        <v>5154</v>
      </c>
      <c r="BA55">
        <v>0</v>
      </c>
      <c r="BB55">
        <v>0</v>
      </c>
      <c r="BC55">
        <v>964152</v>
      </c>
      <c r="BD55">
        <v>136</v>
      </c>
      <c r="BE55">
        <v>963840</v>
      </c>
      <c r="BF55">
        <v>57</v>
      </c>
      <c r="BG55">
        <v>326240</v>
      </c>
      <c r="BH55">
        <v>14850</v>
      </c>
      <c r="BI55">
        <v>21.96902</v>
      </c>
      <c r="BJ55">
        <v>27.60126</v>
      </c>
      <c r="BK55">
        <v>27.60126</v>
      </c>
      <c r="BL55">
        <v>27.60126</v>
      </c>
      <c r="BM55">
        <v>479583.7</v>
      </c>
      <c r="BN55">
        <v>4992342</v>
      </c>
      <c r="BO55">
        <v>530.51729999999998</v>
      </c>
      <c r="BP55">
        <v>28.047920000000001</v>
      </c>
      <c r="BQ55">
        <v>5.57613E-2</v>
      </c>
      <c r="BR55">
        <v>18.914670000000001</v>
      </c>
      <c r="BS55">
        <v>890442.3</v>
      </c>
      <c r="BT55">
        <v>481732.3</v>
      </c>
      <c r="BU55">
        <v>852487.7</v>
      </c>
      <c r="BV55" s="1">
        <v>33310000000</v>
      </c>
      <c r="BW55" s="1">
        <v>62110000000</v>
      </c>
      <c r="BX55" s="1">
        <v>10640000000</v>
      </c>
      <c r="BY55" s="1">
        <v>18940000000</v>
      </c>
      <c r="BZ55" s="1">
        <v>21970000000</v>
      </c>
      <c r="CA55" s="1">
        <v>42500000000</v>
      </c>
      <c r="CB55">
        <v>1173022</v>
      </c>
      <c r="CC55">
        <v>2187418</v>
      </c>
      <c r="CD55">
        <v>671703</v>
      </c>
      <c r="CE55">
        <v>1195089</v>
      </c>
      <c r="CF55">
        <v>736030</v>
      </c>
      <c r="CG55">
        <v>1424986</v>
      </c>
      <c r="CH55">
        <v>3</v>
      </c>
      <c r="CI55">
        <v>402</v>
      </c>
      <c r="CJ55">
        <v>478480</v>
      </c>
      <c r="CK55">
        <v>4980091</v>
      </c>
      <c r="CL55">
        <v>816</v>
      </c>
      <c r="CM55">
        <v>492625</v>
      </c>
      <c r="CN55">
        <v>4977029</v>
      </c>
      <c r="CO55">
        <v>12300.61</v>
      </c>
      <c r="CP55">
        <v>20113.79</v>
      </c>
      <c r="CQ55">
        <v>12.300610000000001</v>
      </c>
      <c r="CR55">
        <v>20.113790000000002</v>
      </c>
      <c r="CS55">
        <f t="shared" si="1"/>
        <v>1678.7478540772531</v>
      </c>
    </row>
    <row r="56" spans="1:97">
      <c r="A56" t="s">
        <v>33</v>
      </c>
      <c r="B56" t="s">
        <v>165</v>
      </c>
      <c r="C56" t="s">
        <v>33</v>
      </c>
      <c r="D56">
        <v>419</v>
      </c>
      <c r="E56">
        <v>146</v>
      </c>
      <c r="F56">
        <v>71.666659999999993</v>
      </c>
      <c r="G56">
        <v>575</v>
      </c>
      <c r="H56">
        <v>200.9795</v>
      </c>
      <c r="I56">
        <v>64167</v>
      </c>
      <c r="J56">
        <v>0.89</v>
      </c>
      <c r="K56">
        <v>31</v>
      </c>
      <c r="L56">
        <v>29</v>
      </c>
      <c r="M56">
        <v>26</v>
      </c>
      <c r="N56">
        <v>24</v>
      </c>
      <c r="O56">
        <v>52</v>
      </c>
      <c r="P56">
        <v>24</v>
      </c>
      <c r="Q56">
        <v>3</v>
      </c>
      <c r="R56">
        <v>6.9767399999999993E-2</v>
      </c>
      <c r="S56">
        <v>1.0833330000000001</v>
      </c>
      <c r="T56">
        <v>0.3939394</v>
      </c>
      <c r="U56">
        <v>0.3728148</v>
      </c>
      <c r="V56">
        <v>0.16017890000000001</v>
      </c>
      <c r="W56">
        <v>0.83982100000000004</v>
      </c>
      <c r="X56">
        <v>4.7100999999999997E-2</v>
      </c>
      <c r="Y56" s="2">
        <f t="shared" si="0"/>
        <v>47.100999999999999</v>
      </c>
      <c r="Z56">
        <v>20681217</v>
      </c>
      <c r="AA56">
        <v>13842885</v>
      </c>
      <c r="AB56">
        <v>12500</v>
      </c>
      <c r="AC56">
        <v>1.49</v>
      </c>
      <c r="AD56">
        <v>0.89</v>
      </c>
      <c r="AE56">
        <v>0.6</v>
      </c>
      <c r="AF56">
        <v>0</v>
      </c>
      <c r="AG56">
        <v>813.55</v>
      </c>
      <c r="AH56">
        <v>8879.6299999999992</v>
      </c>
      <c r="AI56">
        <v>0</v>
      </c>
      <c r="AJ56">
        <v>9693</v>
      </c>
      <c r="AK56">
        <v>3</v>
      </c>
      <c r="AL56">
        <v>3</v>
      </c>
      <c r="AM56">
        <v>0</v>
      </c>
      <c r="AN56">
        <v>2</v>
      </c>
      <c r="AO56">
        <v>0</v>
      </c>
      <c r="AP56">
        <v>21</v>
      </c>
      <c r="AQ56">
        <v>0</v>
      </c>
      <c r="AR56">
        <v>0</v>
      </c>
      <c r="AS56">
        <v>3</v>
      </c>
      <c r="AT56">
        <v>0</v>
      </c>
      <c r="AU56">
        <v>0</v>
      </c>
      <c r="AV56">
        <v>814</v>
      </c>
      <c r="AW56">
        <v>0</v>
      </c>
      <c r="AX56">
        <v>8605</v>
      </c>
      <c r="AY56">
        <v>0</v>
      </c>
      <c r="AZ56">
        <v>0</v>
      </c>
      <c r="BA56">
        <v>274</v>
      </c>
      <c r="BB56">
        <v>0</v>
      </c>
      <c r="BC56">
        <v>25641</v>
      </c>
      <c r="BD56">
        <v>5</v>
      </c>
      <c r="BE56">
        <v>25563</v>
      </c>
      <c r="BF56">
        <v>98</v>
      </c>
      <c r="BG56">
        <v>4075</v>
      </c>
      <c r="BH56">
        <v>215</v>
      </c>
      <c r="BI56">
        <v>18.953489999999999</v>
      </c>
      <c r="BJ56">
        <v>28.559380000000001</v>
      </c>
      <c r="BK56">
        <v>28.559380000000001</v>
      </c>
      <c r="BL56">
        <v>28.559380000000001</v>
      </c>
      <c r="BM56">
        <v>496810.5</v>
      </c>
      <c r="BN56">
        <v>4989391</v>
      </c>
      <c r="BO56">
        <v>24.276700000000002</v>
      </c>
      <c r="BP56">
        <v>2.8609879999999999</v>
      </c>
      <c r="BQ56">
        <v>0.16829340000000001</v>
      </c>
      <c r="BR56">
        <v>8.4854260000000004</v>
      </c>
      <c r="BS56">
        <v>108864</v>
      </c>
      <c r="BT56">
        <v>55860.99</v>
      </c>
      <c r="BU56">
        <v>149395.70000000001</v>
      </c>
      <c r="BV56" s="1">
        <v>2845000000</v>
      </c>
      <c r="BW56" s="1">
        <v>7079000000</v>
      </c>
      <c r="BX56" s="1">
        <v>925700000</v>
      </c>
      <c r="BY56" s="1">
        <v>2214000000</v>
      </c>
      <c r="BZ56" s="1">
        <v>1637000000</v>
      </c>
      <c r="CA56" s="1">
        <v>3880000000</v>
      </c>
      <c r="CB56">
        <v>791227</v>
      </c>
      <c r="CC56">
        <v>1968554</v>
      </c>
      <c r="CD56">
        <v>460064</v>
      </c>
      <c r="CE56">
        <v>1100237</v>
      </c>
      <c r="CF56">
        <v>517895</v>
      </c>
      <c r="CG56">
        <v>1227160</v>
      </c>
      <c r="CH56">
        <v>3</v>
      </c>
      <c r="CI56">
        <v>402</v>
      </c>
      <c r="CJ56">
        <v>478480</v>
      </c>
      <c r="CK56">
        <v>4980091</v>
      </c>
      <c r="CL56">
        <v>816</v>
      </c>
      <c r="CM56">
        <v>492625</v>
      </c>
      <c r="CN56">
        <v>4977029</v>
      </c>
      <c r="CO56">
        <v>20554.509999999998</v>
      </c>
      <c r="CP56">
        <v>13050.87</v>
      </c>
      <c r="CQ56">
        <v>20.554510000000001</v>
      </c>
      <c r="CR56">
        <v>13.05087</v>
      </c>
      <c r="CS56">
        <f t="shared" si="1"/>
        <v>1710.9166666666667</v>
      </c>
    </row>
    <row r="57" spans="1:97">
      <c r="A57" t="s">
        <v>34</v>
      </c>
      <c r="B57" t="s">
        <v>182</v>
      </c>
      <c r="C57" t="s">
        <v>34</v>
      </c>
      <c r="D57">
        <v>20281</v>
      </c>
      <c r="E57">
        <v>743</v>
      </c>
      <c r="F57">
        <v>374.44450000000001</v>
      </c>
      <c r="G57">
        <v>30074</v>
      </c>
      <c r="H57">
        <v>1101.5619999999999</v>
      </c>
      <c r="I57">
        <v>62063</v>
      </c>
      <c r="J57">
        <v>0.85</v>
      </c>
      <c r="K57">
        <v>1703</v>
      </c>
      <c r="L57">
        <v>1243</v>
      </c>
      <c r="M57">
        <v>1463</v>
      </c>
      <c r="N57">
        <v>1003</v>
      </c>
      <c r="O57">
        <v>2926</v>
      </c>
      <c r="P57">
        <v>1003</v>
      </c>
      <c r="Q57">
        <v>461</v>
      </c>
      <c r="R57">
        <v>0.2303848</v>
      </c>
      <c r="S57">
        <v>1.4586239999999999</v>
      </c>
      <c r="T57">
        <v>0.48717949999999999</v>
      </c>
      <c r="U57">
        <v>0.1721673</v>
      </c>
      <c r="V57">
        <v>0.104268</v>
      </c>
      <c r="W57">
        <v>0.89573199999999997</v>
      </c>
      <c r="X57">
        <v>1.456E-3</v>
      </c>
      <c r="Y57" s="2">
        <f t="shared" si="0"/>
        <v>1.456</v>
      </c>
      <c r="Z57">
        <v>49109802</v>
      </c>
      <c r="AA57">
        <v>37051479</v>
      </c>
      <c r="AB57">
        <v>12500</v>
      </c>
      <c r="AC57">
        <v>1.33</v>
      </c>
      <c r="AD57">
        <v>0.66</v>
      </c>
      <c r="AE57">
        <v>0.75</v>
      </c>
      <c r="AF57">
        <v>5.78</v>
      </c>
      <c r="AG57">
        <v>21155.86</v>
      </c>
      <c r="AH57">
        <v>230725</v>
      </c>
      <c r="AI57">
        <v>14566</v>
      </c>
      <c r="AJ57">
        <v>251881</v>
      </c>
      <c r="AK57">
        <v>27</v>
      </c>
      <c r="AL57">
        <v>9</v>
      </c>
      <c r="AM57">
        <v>67</v>
      </c>
      <c r="AN57">
        <v>0</v>
      </c>
      <c r="AO57">
        <v>29</v>
      </c>
      <c r="AP57">
        <v>1305</v>
      </c>
      <c r="AQ57">
        <v>0</v>
      </c>
      <c r="AR57">
        <v>61</v>
      </c>
      <c r="AS57">
        <v>1</v>
      </c>
      <c r="AT57">
        <v>0</v>
      </c>
      <c r="AU57">
        <v>14566</v>
      </c>
      <c r="AV57">
        <v>0</v>
      </c>
      <c r="AW57">
        <v>6589</v>
      </c>
      <c r="AX57">
        <v>220050</v>
      </c>
      <c r="AY57">
        <v>0</v>
      </c>
      <c r="AZ57">
        <v>10182</v>
      </c>
      <c r="BA57">
        <v>493</v>
      </c>
      <c r="BB57">
        <v>0</v>
      </c>
      <c r="BC57">
        <v>1124785</v>
      </c>
      <c r="BD57">
        <v>142</v>
      </c>
      <c r="BE57">
        <v>1114599</v>
      </c>
      <c r="BF57">
        <v>88</v>
      </c>
      <c r="BG57">
        <v>198560</v>
      </c>
      <c r="BH57">
        <v>10110</v>
      </c>
      <c r="BI57">
        <v>19.639959999999999</v>
      </c>
      <c r="BJ57">
        <v>27.08174</v>
      </c>
      <c r="BK57">
        <v>27.08174</v>
      </c>
      <c r="BL57">
        <v>27.08174</v>
      </c>
      <c r="BM57">
        <v>471698.7</v>
      </c>
      <c r="BN57">
        <v>4981908</v>
      </c>
      <c r="BO57">
        <v>543.83280000000002</v>
      </c>
      <c r="BP57">
        <v>27.30123</v>
      </c>
      <c r="BQ57">
        <v>4.6748699999999997E-2</v>
      </c>
      <c r="BR57">
        <v>19.919720000000002</v>
      </c>
      <c r="BS57">
        <v>630844.80000000005</v>
      </c>
      <c r="BT57">
        <v>314473.7</v>
      </c>
      <c r="BU57">
        <v>935458.1</v>
      </c>
      <c r="BV57" s="1">
        <v>25410000000</v>
      </c>
      <c r="BW57" s="1">
        <v>49380000000</v>
      </c>
      <c r="BX57" s="1">
        <v>7785000000</v>
      </c>
      <c r="BY57" s="1">
        <v>14470000000</v>
      </c>
      <c r="BZ57" s="1">
        <v>30740000000</v>
      </c>
      <c r="CA57" s="1">
        <v>48700000000</v>
      </c>
      <c r="CB57">
        <v>1228565</v>
      </c>
      <c r="CC57">
        <v>2387420</v>
      </c>
      <c r="CD57">
        <v>710046</v>
      </c>
      <c r="CE57">
        <v>1319567</v>
      </c>
      <c r="CF57">
        <v>1034693</v>
      </c>
      <c r="CG57">
        <v>1640009</v>
      </c>
      <c r="CH57">
        <v>3</v>
      </c>
      <c r="CI57">
        <v>402</v>
      </c>
      <c r="CJ57">
        <v>478480</v>
      </c>
      <c r="CK57">
        <v>4980091</v>
      </c>
      <c r="CL57">
        <v>816</v>
      </c>
      <c r="CM57">
        <v>492625</v>
      </c>
      <c r="CN57">
        <v>4977029</v>
      </c>
      <c r="CO57">
        <v>7020.3590000000004</v>
      </c>
      <c r="CP57">
        <v>21487.42</v>
      </c>
      <c r="CQ57">
        <v>7.0203600000000002</v>
      </c>
      <c r="CR57">
        <v>21.48742</v>
      </c>
      <c r="CS57">
        <f t="shared" si="1"/>
        <v>1779.3898305084747</v>
      </c>
    </row>
    <row r="58" spans="1:97">
      <c r="A58" t="s">
        <v>35</v>
      </c>
      <c r="B58" t="s">
        <v>158</v>
      </c>
      <c r="C58" t="s">
        <v>35</v>
      </c>
      <c r="D58">
        <v>4026</v>
      </c>
      <c r="E58">
        <v>59</v>
      </c>
      <c r="F58">
        <v>30.217390000000002</v>
      </c>
      <c r="G58">
        <v>702</v>
      </c>
      <c r="H58">
        <v>10.22411</v>
      </c>
      <c r="I58">
        <v>98228</v>
      </c>
      <c r="J58">
        <v>0.87</v>
      </c>
      <c r="K58">
        <v>369</v>
      </c>
      <c r="L58">
        <v>334</v>
      </c>
      <c r="M58">
        <v>290</v>
      </c>
      <c r="N58">
        <v>255</v>
      </c>
      <c r="O58">
        <v>580</v>
      </c>
      <c r="P58">
        <v>255</v>
      </c>
      <c r="Q58">
        <v>36</v>
      </c>
      <c r="R58">
        <v>7.1287100000000006E-2</v>
      </c>
      <c r="S58">
        <v>1.1372549999999999</v>
      </c>
      <c r="T58">
        <v>0.38208170000000002</v>
      </c>
      <c r="U58">
        <v>0.53204969999999996</v>
      </c>
      <c r="V58">
        <v>0.40392549999999999</v>
      </c>
      <c r="W58">
        <v>0.59607449999999995</v>
      </c>
      <c r="X58">
        <v>4.4770000000000001E-3</v>
      </c>
      <c r="Y58" s="2">
        <f t="shared" si="0"/>
        <v>4.4770000000000003</v>
      </c>
      <c r="Z58">
        <v>79340569</v>
      </c>
      <c r="AA58">
        <v>55700456</v>
      </c>
      <c r="AB58">
        <v>12500</v>
      </c>
      <c r="AC58">
        <v>1.42</v>
      </c>
      <c r="AD58">
        <v>0.28000000000000003</v>
      </c>
      <c r="AE58">
        <v>0.28999999999999998</v>
      </c>
      <c r="AF58">
        <v>0</v>
      </c>
      <c r="AG58">
        <v>7865.75</v>
      </c>
      <c r="AH58">
        <v>146428.70000000001</v>
      </c>
      <c r="AI58">
        <v>0</v>
      </c>
      <c r="AJ58">
        <v>154294</v>
      </c>
      <c r="AK58">
        <v>69</v>
      </c>
      <c r="AL58">
        <v>2</v>
      </c>
      <c r="AM58">
        <v>0</v>
      </c>
      <c r="AN58">
        <v>0</v>
      </c>
      <c r="AO58">
        <v>14</v>
      </c>
      <c r="AP58">
        <v>276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7866</v>
      </c>
      <c r="AX58">
        <v>146429</v>
      </c>
      <c r="AY58">
        <v>0</v>
      </c>
      <c r="AZ58">
        <v>0</v>
      </c>
      <c r="BA58">
        <v>0</v>
      </c>
      <c r="BB58">
        <v>0</v>
      </c>
      <c r="BC58">
        <v>80965</v>
      </c>
      <c r="BD58">
        <v>83</v>
      </c>
      <c r="BE58">
        <v>121720</v>
      </c>
      <c r="BF58">
        <v>49</v>
      </c>
      <c r="BG58">
        <v>52435</v>
      </c>
      <c r="BH58">
        <v>2085</v>
      </c>
      <c r="BI58">
        <v>25.148679999999999</v>
      </c>
      <c r="BJ58">
        <v>26.82077</v>
      </c>
      <c r="BK58">
        <v>26.82077</v>
      </c>
      <c r="BL58">
        <v>26.82077</v>
      </c>
      <c r="BM58">
        <v>507153.7</v>
      </c>
      <c r="BN58">
        <v>4992123</v>
      </c>
      <c r="BO58">
        <v>317.4325</v>
      </c>
      <c r="BP58">
        <v>68.66122</v>
      </c>
      <c r="BQ58">
        <v>0.64169370000000003</v>
      </c>
      <c r="BR58">
        <v>4.6231710000000001</v>
      </c>
      <c r="BS58">
        <v>42288.21</v>
      </c>
      <c r="BT58">
        <v>21900.38</v>
      </c>
      <c r="BU58">
        <v>7373.652</v>
      </c>
      <c r="BV58" s="1">
        <v>1037000000</v>
      </c>
      <c r="BW58" s="1">
        <v>3508000000</v>
      </c>
      <c r="BX58" s="1">
        <v>310700000</v>
      </c>
      <c r="BY58" s="1">
        <v>1075000000</v>
      </c>
      <c r="BZ58" s="1">
        <v>133000000</v>
      </c>
      <c r="CA58" s="1">
        <v>558000000</v>
      </c>
      <c r="CB58">
        <v>283070</v>
      </c>
      <c r="CC58">
        <v>957805</v>
      </c>
      <c r="CD58">
        <v>153239</v>
      </c>
      <c r="CE58">
        <v>530048</v>
      </c>
      <c r="CF58">
        <v>177399</v>
      </c>
      <c r="CG58">
        <v>743509</v>
      </c>
      <c r="CH58">
        <v>3</v>
      </c>
      <c r="CI58">
        <v>402</v>
      </c>
      <c r="CJ58">
        <v>478480</v>
      </c>
      <c r="CK58">
        <v>4980091</v>
      </c>
      <c r="CL58">
        <v>816</v>
      </c>
      <c r="CM58">
        <v>492625</v>
      </c>
      <c r="CN58">
        <v>4977029</v>
      </c>
      <c r="CO58">
        <v>31095.84</v>
      </c>
      <c r="CP58">
        <v>20950.240000000002</v>
      </c>
      <c r="CQ58">
        <v>31.095839999999999</v>
      </c>
      <c r="CR58">
        <v>20.950240000000001</v>
      </c>
      <c r="CS58">
        <f t="shared" si="1"/>
        <v>773.62352941176471</v>
      </c>
    </row>
    <row r="59" spans="1:97">
      <c r="A59" t="s">
        <v>36</v>
      </c>
      <c r="B59" t="s">
        <v>182</v>
      </c>
      <c r="C59" t="s">
        <v>36</v>
      </c>
      <c r="D59">
        <v>2544</v>
      </c>
      <c r="E59">
        <v>46</v>
      </c>
      <c r="F59">
        <v>22.446429999999999</v>
      </c>
      <c r="G59">
        <v>345</v>
      </c>
      <c r="H59">
        <v>6.2043369999999998</v>
      </c>
      <c r="I59">
        <v>80933</v>
      </c>
      <c r="J59">
        <v>0.85</v>
      </c>
      <c r="K59">
        <v>254</v>
      </c>
      <c r="L59">
        <v>237</v>
      </c>
      <c r="M59">
        <v>209</v>
      </c>
      <c r="N59">
        <v>192</v>
      </c>
      <c r="O59">
        <v>418</v>
      </c>
      <c r="P59">
        <v>192</v>
      </c>
      <c r="Q59">
        <v>18</v>
      </c>
      <c r="R59">
        <v>4.7493399999999998E-2</v>
      </c>
      <c r="S59">
        <v>1.0885419999999999</v>
      </c>
      <c r="T59">
        <v>0.36666670000000001</v>
      </c>
      <c r="U59">
        <v>0.50669359999999997</v>
      </c>
      <c r="V59">
        <v>0.48927179999999998</v>
      </c>
      <c r="W59">
        <v>0.51072819999999997</v>
      </c>
      <c r="X59">
        <v>5.6990000000000001E-3</v>
      </c>
      <c r="Y59" s="2">
        <f t="shared" si="0"/>
        <v>5.6989999999999998</v>
      </c>
      <c r="Z59">
        <v>55170765</v>
      </c>
      <c r="AA59">
        <v>37725113</v>
      </c>
      <c r="AB59">
        <v>10290</v>
      </c>
      <c r="AC59">
        <v>1.46</v>
      </c>
      <c r="AD59">
        <v>0.59</v>
      </c>
      <c r="AE59">
        <v>0.54</v>
      </c>
      <c r="AF59">
        <v>0</v>
      </c>
      <c r="AG59">
        <v>7256.32</v>
      </c>
      <c r="AH59">
        <v>98642.64</v>
      </c>
      <c r="AI59">
        <v>0</v>
      </c>
      <c r="AJ59">
        <v>105899</v>
      </c>
      <c r="AK59">
        <v>56</v>
      </c>
      <c r="AL59">
        <v>2</v>
      </c>
      <c r="AM59">
        <v>0</v>
      </c>
      <c r="AN59">
        <v>0</v>
      </c>
      <c r="AO59">
        <v>17</v>
      </c>
      <c r="AP59">
        <v>186</v>
      </c>
      <c r="AQ59">
        <v>0</v>
      </c>
      <c r="AR59">
        <v>0</v>
      </c>
      <c r="AS59">
        <v>6</v>
      </c>
      <c r="AT59">
        <v>0</v>
      </c>
      <c r="AU59">
        <v>0</v>
      </c>
      <c r="AV59">
        <v>0</v>
      </c>
      <c r="AW59">
        <v>7256</v>
      </c>
      <c r="AX59">
        <v>95759</v>
      </c>
      <c r="AY59">
        <v>0</v>
      </c>
      <c r="AZ59">
        <v>0</v>
      </c>
      <c r="BA59">
        <v>2884</v>
      </c>
      <c r="BB59">
        <v>0</v>
      </c>
      <c r="BC59">
        <v>116101</v>
      </c>
      <c r="BD59">
        <v>49</v>
      </c>
      <c r="BE59">
        <v>115066</v>
      </c>
      <c r="BF59">
        <v>73</v>
      </c>
      <c r="BG59">
        <v>41960</v>
      </c>
      <c r="BH59">
        <v>1257</v>
      </c>
      <c r="BI59">
        <v>33.381070000000001</v>
      </c>
      <c r="BJ59">
        <v>27.074059999999999</v>
      </c>
      <c r="BK59">
        <v>27.074059999999999</v>
      </c>
      <c r="BL59">
        <v>27.074059999999999</v>
      </c>
      <c r="BM59">
        <v>445840.1</v>
      </c>
      <c r="BN59">
        <v>4994251</v>
      </c>
      <c r="BO59">
        <v>281.88200000000001</v>
      </c>
      <c r="BP59">
        <v>55.60624</v>
      </c>
      <c r="BQ59">
        <v>0.64658420000000005</v>
      </c>
      <c r="BR59">
        <v>5.0692519999999996</v>
      </c>
      <c r="BS59">
        <v>31895.61</v>
      </c>
      <c r="BT59">
        <v>15759.74</v>
      </c>
      <c r="BU59">
        <v>4325.4650000000001</v>
      </c>
      <c r="BV59" s="1">
        <v>298500000</v>
      </c>
      <c r="BW59" s="1">
        <v>1399000000</v>
      </c>
      <c r="BX59">
        <v>90528524</v>
      </c>
      <c r="BY59" s="1">
        <v>496900000</v>
      </c>
      <c r="BZ59">
        <v>33447190</v>
      </c>
      <c r="CA59" s="1">
        <v>257000000</v>
      </c>
      <c r="CB59">
        <v>111066</v>
      </c>
      <c r="CC59">
        <v>520366</v>
      </c>
      <c r="CD59">
        <v>63307</v>
      </c>
      <c r="CE59">
        <v>347471</v>
      </c>
      <c r="CF59">
        <v>46390</v>
      </c>
      <c r="CG59">
        <v>356437</v>
      </c>
      <c r="CH59">
        <v>3</v>
      </c>
      <c r="CI59">
        <v>402</v>
      </c>
      <c r="CJ59">
        <v>478480</v>
      </c>
      <c r="CK59">
        <v>4980091</v>
      </c>
      <c r="CL59">
        <v>816</v>
      </c>
      <c r="CM59">
        <v>492625</v>
      </c>
      <c r="CN59">
        <v>4977029</v>
      </c>
      <c r="CO59">
        <v>35579.019999999997</v>
      </c>
      <c r="CP59">
        <v>49854</v>
      </c>
      <c r="CQ59">
        <v>35.579030000000003</v>
      </c>
      <c r="CR59">
        <v>49.853999999999999</v>
      </c>
      <c r="CS59">
        <f t="shared" si="1"/>
        <v>967.25</v>
      </c>
    </row>
    <row r="60" spans="1:97">
      <c r="A60" t="s">
        <v>229</v>
      </c>
      <c r="B60" t="s">
        <v>163</v>
      </c>
      <c r="C60" t="s">
        <v>229</v>
      </c>
      <c r="D60">
        <v>684</v>
      </c>
      <c r="E60">
        <v>9</v>
      </c>
      <c r="F60">
        <v>4.5194809999999999</v>
      </c>
      <c r="G60">
        <v>117</v>
      </c>
      <c r="H60">
        <v>1.522178</v>
      </c>
      <c r="I60">
        <v>66818</v>
      </c>
      <c r="J60">
        <v>0.85</v>
      </c>
      <c r="K60">
        <v>168</v>
      </c>
      <c r="L60">
        <v>143</v>
      </c>
      <c r="M60">
        <v>110</v>
      </c>
      <c r="N60">
        <v>85</v>
      </c>
      <c r="O60">
        <v>220</v>
      </c>
      <c r="P60">
        <v>85</v>
      </c>
      <c r="Q60">
        <v>26</v>
      </c>
      <c r="R60">
        <v>0.15757579999999999</v>
      </c>
      <c r="S60">
        <v>1.2941180000000001</v>
      </c>
      <c r="T60">
        <v>0.44176710000000002</v>
      </c>
      <c r="U60">
        <v>0.97110870000000005</v>
      </c>
      <c r="V60">
        <v>0.15969230000000001</v>
      </c>
      <c r="W60">
        <v>0.84030769999999999</v>
      </c>
      <c r="X60">
        <v>1.5406E-2</v>
      </c>
      <c r="Y60" s="2">
        <f t="shared" si="0"/>
        <v>15.405999999999999</v>
      </c>
      <c r="Z60">
        <v>87212343</v>
      </c>
      <c r="AA60">
        <v>63319570</v>
      </c>
      <c r="AB60">
        <v>12500</v>
      </c>
      <c r="AC60">
        <v>1.38</v>
      </c>
      <c r="AD60">
        <v>0.74</v>
      </c>
      <c r="AE60">
        <v>0.42</v>
      </c>
      <c r="AF60">
        <v>0</v>
      </c>
      <c r="AG60">
        <v>3512.2</v>
      </c>
      <c r="AH60">
        <v>103309.8</v>
      </c>
      <c r="AI60">
        <v>0</v>
      </c>
      <c r="AJ60">
        <v>106822</v>
      </c>
      <c r="AK60">
        <v>77</v>
      </c>
      <c r="AL60">
        <v>1</v>
      </c>
      <c r="AM60">
        <v>0</v>
      </c>
      <c r="AN60">
        <v>0</v>
      </c>
      <c r="AO60">
        <v>2</v>
      </c>
      <c r="AP60">
        <v>95</v>
      </c>
      <c r="AQ60">
        <v>0</v>
      </c>
      <c r="AR60">
        <v>3</v>
      </c>
      <c r="AS60">
        <v>10</v>
      </c>
      <c r="AT60">
        <v>0</v>
      </c>
      <c r="AU60">
        <v>0</v>
      </c>
      <c r="AV60">
        <v>0</v>
      </c>
      <c r="AW60">
        <v>3512</v>
      </c>
      <c r="AX60">
        <v>100020</v>
      </c>
      <c r="AY60">
        <v>0</v>
      </c>
      <c r="AZ60">
        <v>514</v>
      </c>
      <c r="BA60">
        <v>2776</v>
      </c>
      <c r="BB60">
        <v>0</v>
      </c>
      <c r="BC60">
        <v>0</v>
      </c>
      <c r="BD60">
        <v>0</v>
      </c>
      <c r="BE60">
        <v>37858</v>
      </c>
      <c r="BF60">
        <v>89</v>
      </c>
      <c r="BG60">
        <v>9015</v>
      </c>
      <c r="BH60">
        <v>348</v>
      </c>
      <c r="BI60">
        <v>25.905169999999998</v>
      </c>
      <c r="BJ60">
        <v>28.292770000000001</v>
      </c>
      <c r="BK60">
        <v>28.292770000000001</v>
      </c>
      <c r="BL60">
        <v>28.292770000000001</v>
      </c>
      <c r="BM60">
        <v>482411.9</v>
      </c>
      <c r="BN60">
        <v>4928319</v>
      </c>
      <c r="BO60">
        <v>259.48939999999999</v>
      </c>
      <c r="BP60">
        <v>76.862920000000003</v>
      </c>
      <c r="BQ60">
        <v>1.1825060000000001</v>
      </c>
      <c r="BR60">
        <v>3.3760020000000002</v>
      </c>
      <c r="BS60">
        <v>7638.2550000000001</v>
      </c>
      <c r="BT60">
        <v>3886.13</v>
      </c>
      <c r="BU60">
        <v>1306.5440000000001</v>
      </c>
      <c r="BV60">
        <v>20820257</v>
      </c>
      <c r="BW60" s="1">
        <v>244800000</v>
      </c>
      <c r="BX60">
        <v>6130827</v>
      </c>
      <c r="BY60">
        <v>75895318</v>
      </c>
      <c r="BZ60">
        <v>898144</v>
      </c>
      <c r="CA60">
        <v>4223480</v>
      </c>
      <c r="CB60">
        <v>16777</v>
      </c>
      <c r="CC60">
        <v>197247</v>
      </c>
      <c r="CD60">
        <v>8971</v>
      </c>
      <c r="CE60">
        <v>111060</v>
      </c>
      <c r="CF60">
        <v>13208</v>
      </c>
      <c r="CG60">
        <v>62110</v>
      </c>
      <c r="CH60">
        <v>3</v>
      </c>
      <c r="CI60">
        <v>402</v>
      </c>
      <c r="CJ60">
        <v>478480</v>
      </c>
      <c r="CK60">
        <v>4980091</v>
      </c>
      <c r="CL60">
        <v>816</v>
      </c>
      <c r="CM60">
        <v>492625</v>
      </c>
      <c r="CN60">
        <v>4977029</v>
      </c>
      <c r="CO60">
        <v>51921.59</v>
      </c>
      <c r="CP60">
        <v>49769.67</v>
      </c>
      <c r="CQ60">
        <v>51.921590000000002</v>
      </c>
      <c r="CR60">
        <v>49.769669999999998</v>
      </c>
      <c r="CS60">
        <f t="shared" si="1"/>
        <v>716.1882352941177</v>
      </c>
    </row>
    <row r="61" spans="1:97">
      <c r="A61" t="s">
        <v>230</v>
      </c>
      <c r="B61" t="s">
        <v>182</v>
      </c>
      <c r="C61" t="s">
        <v>230</v>
      </c>
      <c r="D61">
        <v>729</v>
      </c>
      <c r="E61">
        <v>276</v>
      </c>
      <c r="F61">
        <v>124.33329999999999</v>
      </c>
      <c r="G61">
        <v>148</v>
      </c>
      <c r="H61">
        <v>56.000529999999998</v>
      </c>
      <c r="I61">
        <v>102719</v>
      </c>
      <c r="J61">
        <v>0.88</v>
      </c>
      <c r="K61">
        <v>82</v>
      </c>
      <c r="L61">
        <v>77</v>
      </c>
      <c r="M61">
        <v>64</v>
      </c>
      <c r="N61">
        <v>59</v>
      </c>
      <c r="O61">
        <v>128</v>
      </c>
      <c r="P61">
        <v>59</v>
      </c>
      <c r="Q61">
        <v>6</v>
      </c>
      <c r="R61">
        <v>5.30973E-2</v>
      </c>
      <c r="S61">
        <v>1.084746</v>
      </c>
      <c r="T61">
        <v>0.37426900000000002</v>
      </c>
      <c r="U61">
        <v>0.1656089</v>
      </c>
      <c r="V61">
        <v>0.43935229999999997</v>
      </c>
      <c r="W61">
        <v>0.56064769999999997</v>
      </c>
      <c r="X61">
        <v>1.8703000000000001E-2</v>
      </c>
      <c r="Y61" s="2">
        <f t="shared" si="0"/>
        <v>18.702999999999999</v>
      </c>
      <c r="Z61">
        <v>15416631</v>
      </c>
      <c r="AA61">
        <v>9248160</v>
      </c>
      <c r="AB61">
        <v>11674</v>
      </c>
      <c r="AC61">
        <v>1.67</v>
      </c>
      <c r="AD61">
        <v>0.4</v>
      </c>
      <c r="AE61">
        <v>0.28000000000000003</v>
      </c>
      <c r="AF61">
        <v>0</v>
      </c>
      <c r="AG61">
        <v>0</v>
      </c>
      <c r="AH61">
        <v>10598.97</v>
      </c>
      <c r="AI61">
        <v>0</v>
      </c>
      <c r="AJ61">
        <v>10599</v>
      </c>
      <c r="AK61">
        <v>3</v>
      </c>
      <c r="AL61">
        <v>4</v>
      </c>
      <c r="AM61">
        <v>0</v>
      </c>
      <c r="AN61">
        <v>0</v>
      </c>
      <c r="AO61">
        <v>0</v>
      </c>
      <c r="AP61">
        <v>59</v>
      </c>
      <c r="AQ61">
        <v>0</v>
      </c>
      <c r="AR61">
        <v>0</v>
      </c>
      <c r="AS61">
        <v>5</v>
      </c>
      <c r="AT61">
        <v>0</v>
      </c>
      <c r="AU61">
        <v>0</v>
      </c>
      <c r="AV61">
        <v>0</v>
      </c>
      <c r="AW61">
        <v>0</v>
      </c>
      <c r="AX61">
        <v>10082</v>
      </c>
      <c r="AY61">
        <v>0</v>
      </c>
      <c r="AZ61">
        <v>0</v>
      </c>
      <c r="BA61">
        <v>517</v>
      </c>
      <c r="BB61">
        <v>0</v>
      </c>
      <c r="BC61">
        <v>2753</v>
      </c>
      <c r="BD61">
        <v>5</v>
      </c>
      <c r="BE61">
        <v>2653</v>
      </c>
      <c r="BF61">
        <v>6</v>
      </c>
      <c r="BG61">
        <v>9185</v>
      </c>
      <c r="BH61">
        <v>373</v>
      </c>
      <c r="BI61">
        <v>24.624659999999999</v>
      </c>
      <c r="BJ61">
        <v>25.154070000000001</v>
      </c>
      <c r="BK61">
        <v>25.154070000000001</v>
      </c>
      <c r="BL61">
        <v>25.154070000000001</v>
      </c>
      <c r="BM61">
        <v>456200.9</v>
      </c>
      <c r="BN61">
        <v>4973353</v>
      </c>
      <c r="BO61">
        <v>33.88391</v>
      </c>
      <c r="BP61">
        <v>2.6428319999999998</v>
      </c>
      <c r="BQ61">
        <v>9.7882700000000003E-2</v>
      </c>
      <c r="BR61">
        <v>12.821059999999999</v>
      </c>
      <c r="BS61">
        <v>127759.7</v>
      </c>
      <c r="BT61">
        <v>65369.49</v>
      </c>
      <c r="BU61">
        <v>25937.49</v>
      </c>
      <c r="CH61">
        <v>1</v>
      </c>
      <c r="CI61">
        <v>402</v>
      </c>
      <c r="CJ61">
        <v>478480</v>
      </c>
      <c r="CK61">
        <v>4980091</v>
      </c>
      <c r="CL61">
        <v>816</v>
      </c>
      <c r="CM61">
        <v>492625</v>
      </c>
      <c r="CN61">
        <v>4977029</v>
      </c>
      <c r="CO61">
        <v>23275.68</v>
      </c>
      <c r="CP61">
        <v>36609.089999999997</v>
      </c>
      <c r="CQ61">
        <v>23.275680000000001</v>
      </c>
      <c r="CR61">
        <v>36.609090000000002</v>
      </c>
      <c r="CS61">
        <f t="shared" si="1"/>
        <v>74.13559322033899</v>
      </c>
    </row>
    <row r="62" spans="1:97">
      <c r="A62" t="s">
        <v>231</v>
      </c>
      <c r="B62" t="s">
        <v>158</v>
      </c>
      <c r="C62" t="s">
        <v>231</v>
      </c>
      <c r="D62">
        <v>307</v>
      </c>
      <c r="E62">
        <v>31</v>
      </c>
      <c r="F62">
        <v>15.7</v>
      </c>
      <c r="G62">
        <v>0</v>
      </c>
      <c r="H62">
        <v>0</v>
      </c>
      <c r="I62">
        <v>55714</v>
      </c>
      <c r="J62">
        <v>0.82</v>
      </c>
      <c r="K62">
        <v>28</v>
      </c>
      <c r="L62">
        <v>28</v>
      </c>
      <c r="M62">
        <v>19</v>
      </c>
      <c r="N62">
        <v>19</v>
      </c>
      <c r="O62">
        <v>38</v>
      </c>
      <c r="P62">
        <v>19</v>
      </c>
      <c r="Q62">
        <v>1</v>
      </c>
      <c r="R62">
        <v>3.0303E-2</v>
      </c>
      <c r="S62">
        <v>1</v>
      </c>
      <c r="T62">
        <v>0.37254900000000002</v>
      </c>
      <c r="U62">
        <v>0.68702540000000001</v>
      </c>
      <c r="V62">
        <v>0.91523639999999995</v>
      </c>
      <c r="W62">
        <v>8.4763599999999995E-2</v>
      </c>
      <c r="X62">
        <v>5.5556000000000001E-2</v>
      </c>
      <c r="Y62" s="2">
        <f t="shared" si="0"/>
        <v>55.556000000000004</v>
      </c>
      <c r="Z62">
        <v>23298018</v>
      </c>
      <c r="AA62">
        <v>16691437</v>
      </c>
      <c r="AB62">
        <v>9482</v>
      </c>
      <c r="AC62">
        <v>1.4</v>
      </c>
      <c r="AD62">
        <v>0</v>
      </c>
      <c r="AE62">
        <v>0</v>
      </c>
      <c r="AF62">
        <v>0</v>
      </c>
      <c r="AG62">
        <v>0</v>
      </c>
      <c r="AH62">
        <v>13053.48</v>
      </c>
      <c r="AI62">
        <v>0</v>
      </c>
      <c r="AJ62">
        <v>13053</v>
      </c>
      <c r="AK62">
        <v>10</v>
      </c>
      <c r="AL62">
        <v>1</v>
      </c>
      <c r="AM62">
        <v>0</v>
      </c>
      <c r="AN62">
        <v>0</v>
      </c>
      <c r="AO62">
        <v>0</v>
      </c>
      <c r="AP62">
        <v>19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13053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5092</v>
      </c>
      <c r="BF62">
        <v>27</v>
      </c>
      <c r="BG62">
        <v>3770</v>
      </c>
      <c r="BH62">
        <v>157</v>
      </c>
      <c r="BI62">
        <v>24.012740000000001</v>
      </c>
      <c r="BJ62">
        <v>26.862590000000001</v>
      </c>
      <c r="BK62">
        <v>26.862590000000001</v>
      </c>
      <c r="BL62">
        <v>26.862590000000001</v>
      </c>
      <c r="BM62">
        <v>500149.8</v>
      </c>
      <c r="BN62">
        <v>4961755</v>
      </c>
      <c r="BO62">
        <v>99.404859999999999</v>
      </c>
      <c r="BP62">
        <v>9.7970380000000006</v>
      </c>
      <c r="BQ62">
        <v>0.34989419999999999</v>
      </c>
      <c r="BR62">
        <v>10.146420000000001</v>
      </c>
      <c r="BS62">
        <v>23608.94</v>
      </c>
      <c r="BT62">
        <v>12073.63</v>
      </c>
      <c r="BU62">
        <v>0</v>
      </c>
      <c r="CH62">
        <v>1</v>
      </c>
      <c r="CI62">
        <v>402</v>
      </c>
      <c r="CJ62">
        <v>478480</v>
      </c>
      <c r="CK62">
        <v>4980091</v>
      </c>
      <c r="CL62">
        <v>816</v>
      </c>
      <c r="CM62">
        <v>492625</v>
      </c>
      <c r="CN62">
        <v>4977029</v>
      </c>
      <c r="CO62">
        <v>28386.41</v>
      </c>
      <c r="CP62">
        <v>17026.96</v>
      </c>
      <c r="CQ62">
        <v>28.386410000000001</v>
      </c>
      <c r="CR62">
        <v>17.026959999999999</v>
      </c>
      <c r="CS62">
        <f t="shared" si="1"/>
        <v>436.26315789473682</v>
      </c>
    </row>
    <row r="63" spans="1:97">
      <c r="A63" t="s">
        <v>232</v>
      </c>
      <c r="B63" t="s">
        <v>160</v>
      </c>
      <c r="C63" t="s">
        <v>232</v>
      </c>
      <c r="D63">
        <v>12710</v>
      </c>
      <c r="E63">
        <v>137</v>
      </c>
      <c r="F63">
        <v>73.440860000000001</v>
      </c>
      <c r="G63">
        <v>3100</v>
      </c>
      <c r="H63">
        <v>33.404600000000002</v>
      </c>
      <c r="I63">
        <v>67750</v>
      </c>
      <c r="J63">
        <v>0.89</v>
      </c>
      <c r="K63">
        <v>1162</v>
      </c>
      <c r="L63">
        <v>1012</v>
      </c>
      <c r="M63">
        <v>933</v>
      </c>
      <c r="N63">
        <v>783</v>
      </c>
      <c r="O63">
        <v>1866</v>
      </c>
      <c r="P63">
        <v>783</v>
      </c>
      <c r="Q63">
        <v>151</v>
      </c>
      <c r="R63">
        <v>9.6732899999999997E-2</v>
      </c>
      <c r="S63">
        <v>1.1915709999999999</v>
      </c>
      <c r="T63">
        <v>0.39820739999999999</v>
      </c>
      <c r="U63">
        <v>0.28597099999999998</v>
      </c>
      <c r="V63">
        <v>0.2983268</v>
      </c>
      <c r="W63">
        <v>0.7016732</v>
      </c>
      <c r="X63">
        <v>1.524E-3</v>
      </c>
      <c r="Y63" s="2">
        <f t="shared" si="0"/>
        <v>1.524</v>
      </c>
      <c r="Z63">
        <v>84241520</v>
      </c>
      <c r="AA63">
        <v>58303988</v>
      </c>
      <c r="AB63">
        <v>12500</v>
      </c>
      <c r="AC63">
        <v>1.44</v>
      </c>
      <c r="AD63">
        <v>0.24</v>
      </c>
      <c r="AE63">
        <v>0.25</v>
      </c>
      <c r="AF63">
        <v>0</v>
      </c>
      <c r="AG63">
        <v>9675.74</v>
      </c>
      <c r="AH63">
        <v>257135.2</v>
      </c>
      <c r="AI63">
        <v>0</v>
      </c>
      <c r="AJ63">
        <v>266811</v>
      </c>
      <c r="AK63">
        <v>93</v>
      </c>
      <c r="AL63">
        <v>3</v>
      </c>
      <c r="AM63">
        <v>0</v>
      </c>
      <c r="AN63">
        <v>29</v>
      </c>
      <c r="AO63">
        <v>0</v>
      </c>
      <c r="AP63">
        <v>900</v>
      </c>
      <c r="AQ63">
        <v>0</v>
      </c>
      <c r="AR63">
        <v>1</v>
      </c>
      <c r="AS63">
        <v>3</v>
      </c>
      <c r="AT63">
        <v>0</v>
      </c>
      <c r="AU63">
        <v>0</v>
      </c>
      <c r="AV63">
        <v>9676</v>
      </c>
      <c r="AW63">
        <v>0</v>
      </c>
      <c r="AX63">
        <v>256511</v>
      </c>
      <c r="AY63">
        <v>0</v>
      </c>
      <c r="AZ63">
        <v>256</v>
      </c>
      <c r="BA63">
        <v>368</v>
      </c>
      <c r="BB63">
        <v>0</v>
      </c>
      <c r="BC63">
        <v>393739</v>
      </c>
      <c r="BD63">
        <v>135</v>
      </c>
      <c r="BE63">
        <v>380807</v>
      </c>
      <c r="BF63">
        <v>48</v>
      </c>
      <c r="BG63">
        <v>205175</v>
      </c>
      <c r="BH63">
        <v>6830</v>
      </c>
      <c r="BI63">
        <v>30.04026</v>
      </c>
      <c r="BJ63">
        <v>26.66187</v>
      </c>
      <c r="BK63">
        <v>26.66187</v>
      </c>
      <c r="BL63">
        <v>26.66187</v>
      </c>
      <c r="BM63">
        <v>484001.6</v>
      </c>
      <c r="BN63">
        <v>5011247</v>
      </c>
      <c r="BO63">
        <v>615.51279999999997</v>
      </c>
      <c r="BP63">
        <v>92.801599999999993</v>
      </c>
      <c r="BQ63">
        <v>0.34887820000000003</v>
      </c>
      <c r="BR63">
        <v>6.6325669999999999</v>
      </c>
      <c r="BS63">
        <v>94864.36</v>
      </c>
      <c r="BT63">
        <v>50977.46</v>
      </c>
      <c r="BU63">
        <v>23137.65</v>
      </c>
      <c r="BV63" s="1">
        <v>3294000000</v>
      </c>
      <c r="BW63" s="1">
        <v>9534000000</v>
      </c>
      <c r="BX63" s="1">
        <v>1285000000</v>
      </c>
      <c r="BY63" s="1">
        <v>4058000000</v>
      </c>
      <c r="BZ63" s="1">
        <v>287900000</v>
      </c>
      <c r="CA63" s="1">
        <v>1170000000</v>
      </c>
      <c r="CB63">
        <v>259200</v>
      </c>
      <c r="CC63">
        <v>750122</v>
      </c>
      <c r="CD63">
        <v>180520</v>
      </c>
      <c r="CE63">
        <v>569807</v>
      </c>
      <c r="CF63">
        <v>90148</v>
      </c>
      <c r="CG63">
        <v>364885</v>
      </c>
      <c r="CH63">
        <v>3</v>
      </c>
      <c r="CI63">
        <v>402</v>
      </c>
      <c r="CJ63">
        <v>478480</v>
      </c>
      <c r="CK63">
        <v>4980091</v>
      </c>
      <c r="CL63">
        <v>816</v>
      </c>
      <c r="CM63">
        <v>492625</v>
      </c>
      <c r="CN63">
        <v>4977029</v>
      </c>
      <c r="CO63">
        <v>31641</v>
      </c>
      <c r="CP63">
        <v>35287.4</v>
      </c>
      <c r="CQ63">
        <v>31.640999999999998</v>
      </c>
      <c r="CR63">
        <v>35.287399999999998</v>
      </c>
      <c r="CS63">
        <f t="shared" si="1"/>
        <v>779.15708812260539</v>
      </c>
    </row>
    <row r="64" spans="1:97">
      <c r="A64" t="s">
        <v>233</v>
      </c>
      <c r="B64" t="s">
        <v>258</v>
      </c>
      <c r="C64" t="s">
        <v>233</v>
      </c>
      <c r="D64">
        <v>538</v>
      </c>
      <c r="E64">
        <v>1140</v>
      </c>
      <c r="G64">
        <v>109</v>
      </c>
      <c r="H64">
        <v>230.9967</v>
      </c>
      <c r="I64">
        <v>47578</v>
      </c>
      <c r="J64">
        <v>0.87</v>
      </c>
      <c r="K64">
        <v>58</v>
      </c>
      <c r="L64">
        <v>50</v>
      </c>
      <c r="M64">
        <v>38</v>
      </c>
      <c r="N64">
        <v>30</v>
      </c>
      <c r="O64">
        <v>76</v>
      </c>
      <c r="P64">
        <v>30</v>
      </c>
      <c r="Q64">
        <v>9</v>
      </c>
      <c r="R64">
        <v>0.16363639999999999</v>
      </c>
      <c r="S64">
        <v>1.266667</v>
      </c>
      <c r="T64">
        <v>0.45238099999999998</v>
      </c>
      <c r="U64">
        <v>0.1390882</v>
      </c>
      <c r="V64">
        <v>0.42352620000000002</v>
      </c>
      <c r="W64">
        <v>0.57647380000000004</v>
      </c>
      <c r="X64">
        <v>4.3678000000000002E-2</v>
      </c>
      <c r="Y64" s="2">
        <f t="shared" si="0"/>
        <v>43.678000000000004</v>
      </c>
      <c r="Z64">
        <v>7757805</v>
      </c>
      <c r="AA64">
        <v>5519924</v>
      </c>
      <c r="AB64">
        <v>12500</v>
      </c>
      <c r="AC64">
        <v>1.41</v>
      </c>
      <c r="AD64">
        <v>0.18</v>
      </c>
      <c r="AE64">
        <v>0.13</v>
      </c>
      <c r="AF64">
        <v>0</v>
      </c>
      <c r="AG64">
        <v>0</v>
      </c>
      <c r="AH64">
        <v>5285.35</v>
      </c>
      <c r="AI64">
        <v>0</v>
      </c>
      <c r="AJ64">
        <v>5285</v>
      </c>
      <c r="AK64">
        <v>0</v>
      </c>
      <c r="AL64">
        <v>11</v>
      </c>
      <c r="AM64">
        <v>0</v>
      </c>
      <c r="AN64">
        <v>0</v>
      </c>
      <c r="AO64">
        <v>0</v>
      </c>
      <c r="AP64">
        <v>37</v>
      </c>
      <c r="AQ64">
        <v>0</v>
      </c>
      <c r="AR64">
        <v>0</v>
      </c>
      <c r="AS64">
        <v>1</v>
      </c>
      <c r="AT64">
        <v>0</v>
      </c>
      <c r="AU64">
        <v>0</v>
      </c>
      <c r="AV64">
        <v>0</v>
      </c>
      <c r="AW64">
        <v>0</v>
      </c>
      <c r="AX64">
        <v>5192</v>
      </c>
      <c r="AY64">
        <v>0</v>
      </c>
      <c r="AZ64">
        <v>0</v>
      </c>
      <c r="BA64">
        <v>93</v>
      </c>
      <c r="BB64">
        <v>0</v>
      </c>
      <c r="BC64">
        <v>2078</v>
      </c>
      <c r="BD64">
        <v>3</v>
      </c>
      <c r="BE64">
        <v>2219</v>
      </c>
      <c r="BF64">
        <v>7</v>
      </c>
      <c r="BG64">
        <v>7010</v>
      </c>
      <c r="BH64">
        <v>275</v>
      </c>
      <c r="BI64">
        <v>25.49091</v>
      </c>
      <c r="BJ64">
        <v>27.358889999999999</v>
      </c>
      <c r="BK64">
        <v>27.358889999999999</v>
      </c>
      <c r="BL64">
        <v>27.358889999999999</v>
      </c>
      <c r="BM64">
        <v>423618.1</v>
      </c>
      <c r="BN64">
        <v>4953711</v>
      </c>
      <c r="BO64">
        <v>20.86046</v>
      </c>
      <c r="BP64">
        <v>0.47186820000000002</v>
      </c>
      <c r="BQ64">
        <v>1.81488E-2</v>
      </c>
      <c r="BR64">
        <v>44.20823</v>
      </c>
      <c r="BS64">
        <v>878890.1</v>
      </c>
      <c r="BT64">
        <v>449246.8</v>
      </c>
      <c r="BU64">
        <v>178065.1</v>
      </c>
      <c r="CH64">
        <v>1</v>
      </c>
      <c r="CI64">
        <v>402</v>
      </c>
      <c r="CJ64">
        <v>478480</v>
      </c>
      <c r="CK64">
        <v>4980091</v>
      </c>
      <c r="CL64">
        <v>816</v>
      </c>
      <c r="CM64">
        <v>492625</v>
      </c>
      <c r="CN64">
        <v>4977029</v>
      </c>
      <c r="CO64">
        <v>60874.76</v>
      </c>
      <c r="CP64">
        <v>72840.14</v>
      </c>
      <c r="CQ64">
        <v>60.874760000000002</v>
      </c>
      <c r="CR64">
        <v>72.840140000000005</v>
      </c>
      <c r="CS64">
        <f t="shared" si="1"/>
        <v>125.53333333333333</v>
      </c>
    </row>
    <row r="65" spans="1:97">
      <c r="A65" t="s">
        <v>234</v>
      </c>
      <c r="B65" t="s">
        <v>163</v>
      </c>
      <c r="C65" t="s">
        <v>234</v>
      </c>
      <c r="D65">
        <v>434</v>
      </c>
      <c r="E65">
        <v>133</v>
      </c>
      <c r="F65">
        <v>76</v>
      </c>
      <c r="G65">
        <v>171</v>
      </c>
      <c r="H65">
        <v>52.564660000000003</v>
      </c>
      <c r="I65">
        <v>53438</v>
      </c>
      <c r="J65">
        <v>0.87</v>
      </c>
      <c r="K65">
        <v>71</v>
      </c>
      <c r="L65">
        <v>58</v>
      </c>
      <c r="M65">
        <v>56</v>
      </c>
      <c r="N65">
        <v>43</v>
      </c>
      <c r="O65">
        <v>112</v>
      </c>
      <c r="P65">
        <v>43</v>
      </c>
      <c r="Q65">
        <v>14</v>
      </c>
      <c r="R65">
        <v>0.17283950000000001</v>
      </c>
      <c r="S65">
        <v>1.3023260000000001</v>
      </c>
      <c r="T65">
        <v>0.45528459999999998</v>
      </c>
      <c r="U65">
        <v>0.24299979999999999</v>
      </c>
      <c r="V65">
        <v>0.278416</v>
      </c>
      <c r="W65">
        <v>0.721584</v>
      </c>
      <c r="X65">
        <v>3.1008000000000001E-2</v>
      </c>
      <c r="Y65" s="2">
        <f t="shared" si="0"/>
        <v>31.007999999999999</v>
      </c>
      <c r="Z65">
        <v>12316527</v>
      </c>
      <c r="AA65">
        <v>9030875</v>
      </c>
      <c r="AB65">
        <v>11724</v>
      </c>
      <c r="AC65">
        <v>1.36</v>
      </c>
      <c r="AD65">
        <v>1.1200000000000001</v>
      </c>
      <c r="AE65">
        <v>1.02</v>
      </c>
      <c r="AF65">
        <v>0</v>
      </c>
      <c r="AG65">
        <v>1670.79</v>
      </c>
      <c r="AH65">
        <v>11937.2</v>
      </c>
      <c r="AI65">
        <v>0</v>
      </c>
      <c r="AJ65">
        <v>13608</v>
      </c>
      <c r="AK65">
        <v>3</v>
      </c>
      <c r="AL65">
        <v>4</v>
      </c>
      <c r="AM65">
        <v>0</v>
      </c>
      <c r="AN65">
        <v>5</v>
      </c>
      <c r="AO65">
        <v>1</v>
      </c>
      <c r="AP65">
        <v>45</v>
      </c>
      <c r="AQ65">
        <v>1</v>
      </c>
      <c r="AR65">
        <v>2</v>
      </c>
      <c r="AS65">
        <v>2</v>
      </c>
      <c r="AT65">
        <v>0</v>
      </c>
      <c r="AU65">
        <v>0</v>
      </c>
      <c r="AV65">
        <v>1631</v>
      </c>
      <c r="AW65">
        <v>40</v>
      </c>
      <c r="AX65">
        <v>10941</v>
      </c>
      <c r="AY65">
        <v>177</v>
      </c>
      <c r="AZ65">
        <v>576</v>
      </c>
      <c r="BA65">
        <v>243</v>
      </c>
      <c r="BB65">
        <v>0</v>
      </c>
      <c r="BC65">
        <v>36496</v>
      </c>
      <c r="BD65">
        <v>7</v>
      </c>
      <c r="BE65">
        <v>36411</v>
      </c>
      <c r="BF65">
        <v>135</v>
      </c>
      <c r="BG65">
        <v>5640</v>
      </c>
      <c r="BH65">
        <v>228</v>
      </c>
      <c r="BI65">
        <v>24.736840000000001</v>
      </c>
      <c r="BJ65">
        <v>32.428600000000003</v>
      </c>
      <c r="BK65">
        <v>32.428600000000003</v>
      </c>
      <c r="BL65">
        <v>32.428600000000003</v>
      </c>
      <c r="BM65">
        <v>499810.1</v>
      </c>
      <c r="BN65">
        <v>4939472</v>
      </c>
      <c r="BO65">
        <v>34.86938</v>
      </c>
      <c r="BP65">
        <v>3.253136</v>
      </c>
      <c r="BQ65">
        <v>0.1204865</v>
      </c>
      <c r="BR65">
        <v>10.71869</v>
      </c>
      <c r="BS65">
        <v>153431.5</v>
      </c>
      <c r="BT65">
        <v>80604.58</v>
      </c>
      <c r="BU65">
        <v>60453.43</v>
      </c>
      <c r="CH65">
        <v>1</v>
      </c>
      <c r="CI65">
        <v>402</v>
      </c>
      <c r="CJ65">
        <v>478480</v>
      </c>
      <c r="CK65">
        <v>4980091</v>
      </c>
      <c r="CL65">
        <v>816</v>
      </c>
      <c r="CM65">
        <v>492625</v>
      </c>
      <c r="CN65">
        <v>4977029</v>
      </c>
      <c r="CO65">
        <v>45878.93</v>
      </c>
      <c r="CP65">
        <v>38238.120000000003</v>
      </c>
      <c r="CQ65">
        <v>45.878929999999997</v>
      </c>
      <c r="CR65">
        <v>38.238120000000002</v>
      </c>
      <c r="CS65">
        <f t="shared" si="1"/>
        <v>1362.5581395348838</v>
      </c>
    </row>
    <row r="66" spans="1:97">
      <c r="A66" t="s">
        <v>235</v>
      </c>
      <c r="B66" t="s">
        <v>163</v>
      </c>
      <c r="C66" t="s">
        <v>235</v>
      </c>
      <c r="D66">
        <v>986</v>
      </c>
      <c r="E66">
        <v>11</v>
      </c>
      <c r="F66">
        <v>4.8202249999999998</v>
      </c>
      <c r="G66">
        <v>173</v>
      </c>
      <c r="H66">
        <v>1.9396519999999999</v>
      </c>
      <c r="I66">
        <v>62292</v>
      </c>
      <c r="J66">
        <v>0.88</v>
      </c>
      <c r="K66">
        <v>249</v>
      </c>
      <c r="L66">
        <v>225</v>
      </c>
      <c r="M66">
        <v>183</v>
      </c>
      <c r="N66">
        <v>159</v>
      </c>
      <c r="O66">
        <v>366</v>
      </c>
      <c r="P66">
        <v>159</v>
      </c>
      <c r="Q66">
        <v>25</v>
      </c>
      <c r="R66">
        <v>7.9872200000000004E-2</v>
      </c>
      <c r="S66">
        <v>1.150943</v>
      </c>
      <c r="T66">
        <v>0.38853500000000002</v>
      </c>
      <c r="U66">
        <v>0.66811790000000004</v>
      </c>
      <c r="V66">
        <v>0.39522380000000001</v>
      </c>
      <c r="W66">
        <v>0.60477610000000004</v>
      </c>
      <c r="X66">
        <v>7.2839999999999997E-3</v>
      </c>
      <c r="Y66" s="2">
        <f t="shared" si="0"/>
        <v>7.2839999999999998</v>
      </c>
      <c r="Z66">
        <v>97149345</v>
      </c>
      <c r="AA66">
        <v>62898969</v>
      </c>
      <c r="AB66">
        <v>12202</v>
      </c>
      <c r="AC66">
        <v>1.54</v>
      </c>
      <c r="AD66">
        <v>1.46</v>
      </c>
      <c r="AE66">
        <v>1.07</v>
      </c>
      <c r="AF66">
        <v>0</v>
      </c>
      <c r="AG66">
        <v>15889.54</v>
      </c>
      <c r="AH66">
        <v>106376</v>
      </c>
      <c r="AI66">
        <v>0</v>
      </c>
      <c r="AJ66">
        <v>122266</v>
      </c>
      <c r="AK66">
        <v>89</v>
      </c>
      <c r="AL66">
        <v>1</v>
      </c>
      <c r="AM66">
        <v>0</v>
      </c>
      <c r="AN66">
        <v>10</v>
      </c>
      <c r="AO66">
        <v>10</v>
      </c>
      <c r="AP66">
        <v>123</v>
      </c>
      <c r="AQ66">
        <v>0</v>
      </c>
      <c r="AR66">
        <v>6</v>
      </c>
      <c r="AS66">
        <v>34</v>
      </c>
      <c r="AT66">
        <v>0</v>
      </c>
      <c r="AU66">
        <v>0</v>
      </c>
      <c r="AV66">
        <v>9340</v>
      </c>
      <c r="AW66">
        <v>6549</v>
      </c>
      <c r="AX66">
        <v>97659</v>
      </c>
      <c r="AY66">
        <v>0</v>
      </c>
      <c r="AZ66">
        <v>610</v>
      </c>
      <c r="BA66">
        <v>8107</v>
      </c>
      <c r="BB66">
        <v>0</v>
      </c>
      <c r="BC66">
        <v>0</v>
      </c>
      <c r="BD66">
        <v>0</v>
      </c>
      <c r="BE66">
        <v>170180</v>
      </c>
      <c r="BF66">
        <v>278</v>
      </c>
      <c r="BG66">
        <v>11575</v>
      </c>
      <c r="BH66">
        <v>429</v>
      </c>
      <c r="BI66">
        <v>26.981349999999999</v>
      </c>
      <c r="BJ66">
        <v>30.779150000000001</v>
      </c>
      <c r="BK66">
        <v>30.779150000000001</v>
      </c>
      <c r="BL66">
        <v>30.779150000000001</v>
      </c>
      <c r="BM66">
        <v>502081.7</v>
      </c>
      <c r="BN66">
        <v>4936947</v>
      </c>
      <c r="BO66">
        <v>316.36770000000001</v>
      </c>
      <c r="BP66">
        <v>89.191249999999997</v>
      </c>
      <c r="BQ66">
        <v>0.9910139</v>
      </c>
      <c r="BR66">
        <v>3.5470709999999999</v>
      </c>
      <c r="BS66">
        <v>8930.2340000000004</v>
      </c>
      <c r="BT66">
        <v>3885.4670000000001</v>
      </c>
      <c r="BU66">
        <v>1566.867</v>
      </c>
      <c r="BV66" s="1">
        <v>186700000</v>
      </c>
      <c r="BW66" s="1">
        <v>863300000</v>
      </c>
      <c r="BX66">
        <v>51473149</v>
      </c>
      <c r="BY66" s="1">
        <v>251300000</v>
      </c>
      <c r="BZ66">
        <v>20216809</v>
      </c>
      <c r="CA66" s="1">
        <v>103000000</v>
      </c>
      <c r="CB66">
        <v>78061</v>
      </c>
      <c r="CC66">
        <v>360905</v>
      </c>
      <c r="CD66">
        <v>41700</v>
      </c>
      <c r="CE66">
        <v>203609</v>
      </c>
      <c r="CF66">
        <v>31247</v>
      </c>
      <c r="CG66">
        <v>159287</v>
      </c>
      <c r="CH66">
        <v>3</v>
      </c>
      <c r="CI66">
        <v>402</v>
      </c>
      <c r="CJ66">
        <v>478480</v>
      </c>
      <c r="CK66">
        <v>4980091</v>
      </c>
      <c r="CL66">
        <v>816</v>
      </c>
      <c r="CM66">
        <v>492625</v>
      </c>
      <c r="CN66">
        <v>4977029</v>
      </c>
      <c r="CO66">
        <v>49177.7</v>
      </c>
      <c r="CP66">
        <v>41182.480000000003</v>
      </c>
      <c r="CQ66">
        <v>49.177700000000002</v>
      </c>
      <c r="CR66">
        <v>41.182479999999998</v>
      </c>
      <c r="CS66">
        <f t="shared" si="1"/>
        <v>1723.9496855345913</v>
      </c>
    </row>
    <row r="67" spans="1:97">
      <c r="A67" t="s">
        <v>44</v>
      </c>
      <c r="B67" t="s">
        <v>258</v>
      </c>
      <c r="C67" t="s">
        <v>44</v>
      </c>
      <c r="D67">
        <v>367</v>
      </c>
      <c r="E67">
        <v>8</v>
      </c>
      <c r="F67">
        <v>3.2608700000000002</v>
      </c>
      <c r="G67">
        <v>9</v>
      </c>
      <c r="H67">
        <v>0.19525300000000001</v>
      </c>
      <c r="I67">
        <v>58750</v>
      </c>
      <c r="J67">
        <v>0.74</v>
      </c>
      <c r="K67">
        <v>164</v>
      </c>
      <c r="L67">
        <v>149</v>
      </c>
      <c r="M67">
        <v>119</v>
      </c>
      <c r="N67">
        <v>104</v>
      </c>
      <c r="O67">
        <v>238</v>
      </c>
      <c r="P67">
        <v>104</v>
      </c>
      <c r="Q67">
        <v>16</v>
      </c>
      <c r="R67">
        <v>7.8817700000000004E-2</v>
      </c>
      <c r="S67">
        <v>1.144231</v>
      </c>
      <c r="T67">
        <v>0.38888889999999998</v>
      </c>
      <c r="U67">
        <v>0.66460350000000001</v>
      </c>
      <c r="V67">
        <v>0.17479890000000001</v>
      </c>
      <c r="W67">
        <v>0.82520119999999997</v>
      </c>
      <c r="X67">
        <v>1.1109000000000001E-2</v>
      </c>
      <c r="Y67" s="2">
        <f t="shared" ref="Y67:Y130" si="2">X67*1000</f>
        <v>11.109</v>
      </c>
      <c r="Z67">
        <v>72225046</v>
      </c>
      <c r="AA67">
        <v>54328030</v>
      </c>
      <c r="AB67">
        <v>12500</v>
      </c>
      <c r="AC67">
        <v>1.33</v>
      </c>
      <c r="AD67">
        <v>0.88</v>
      </c>
      <c r="AE67">
        <v>0.61</v>
      </c>
      <c r="AF67">
        <v>0</v>
      </c>
      <c r="AG67">
        <v>0</v>
      </c>
      <c r="AH67">
        <v>79087.820000000007</v>
      </c>
      <c r="AI67">
        <v>0</v>
      </c>
      <c r="AJ67">
        <v>79088</v>
      </c>
      <c r="AK67">
        <v>46</v>
      </c>
      <c r="AL67">
        <v>2</v>
      </c>
      <c r="AM67">
        <v>0</v>
      </c>
      <c r="AN67">
        <v>0</v>
      </c>
      <c r="AO67">
        <v>0</v>
      </c>
      <c r="AP67">
        <v>83</v>
      </c>
      <c r="AQ67">
        <v>0</v>
      </c>
      <c r="AR67">
        <v>0</v>
      </c>
      <c r="AS67">
        <v>36</v>
      </c>
      <c r="AT67">
        <v>0</v>
      </c>
      <c r="AU67">
        <v>0</v>
      </c>
      <c r="AV67">
        <v>0</v>
      </c>
      <c r="AW67">
        <v>0</v>
      </c>
      <c r="AX67">
        <v>67350</v>
      </c>
      <c r="AY67">
        <v>0</v>
      </c>
      <c r="AZ67">
        <v>0</v>
      </c>
      <c r="BA67">
        <v>11738</v>
      </c>
      <c r="BB67">
        <v>0</v>
      </c>
      <c r="BC67">
        <v>0</v>
      </c>
      <c r="BD67">
        <v>0</v>
      </c>
      <c r="BE67">
        <v>10340</v>
      </c>
      <c r="BF67">
        <v>45</v>
      </c>
      <c r="BG67">
        <v>3730</v>
      </c>
      <c r="BH67">
        <v>150</v>
      </c>
      <c r="BI67">
        <v>24.866669999999999</v>
      </c>
      <c r="BJ67">
        <v>29.054860000000001</v>
      </c>
      <c r="BK67">
        <v>29.054860000000001</v>
      </c>
      <c r="BL67">
        <v>29.054860000000001</v>
      </c>
      <c r="BM67">
        <v>434358.3</v>
      </c>
      <c r="BN67">
        <v>4949429</v>
      </c>
      <c r="BO67">
        <v>191.7569</v>
      </c>
      <c r="BP67">
        <v>46.067480000000003</v>
      </c>
      <c r="BQ67">
        <v>1.023722</v>
      </c>
      <c r="BR67">
        <v>4.1625220000000001</v>
      </c>
      <c r="BS67">
        <v>7736.0429999999997</v>
      </c>
      <c r="BT67">
        <v>3161.87</v>
      </c>
      <c r="BU67">
        <v>189.7122</v>
      </c>
      <c r="BV67">
        <v>2219983</v>
      </c>
      <c r="BW67">
        <v>32098554</v>
      </c>
      <c r="BX67">
        <v>681245</v>
      </c>
      <c r="BY67">
        <v>10180076</v>
      </c>
      <c r="BZ67">
        <v>25025</v>
      </c>
      <c r="CA67">
        <v>1173550</v>
      </c>
      <c r="CB67">
        <v>6049</v>
      </c>
      <c r="CC67">
        <v>87462</v>
      </c>
      <c r="CD67">
        <v>3346</v>
      </c>
      <c r="CE67">
        <v>50003</v>
      </c>
      <c r="CF67">
        <v>715</v>
      </c>
      <c r="CG67">
        <v>33530</v>
      </c>
      <c r="CH67">
        <v>3</v>
      </c>
      <c r="CI67">
        <v>402</v>
      </c>
      <c r="CJ67">
        <v>478480</v>
      </c>
      <c r="CK67">
        <v>4980091</v>
      </c>
      <c r="CL67">
        <v>816</v>
      </c>
      <c r="CM67">
        <v>492625</v>
      </c>
      <c r="CN67">
        <v>4977029</v>
      </c>
      <c r="CO67">
        <v>53729.99</v>
      </c>
      <c r="CP67">
        <v>64473.21</v>
      </c>
      <c r="CQ67">
        <v>53.729990000000001</v>
      </c>
      <c r="CR67">
        <v>64.473209999999995</v>
      </c>
      <c r="CS67">
        <f t="shared" ref="CS67:CS130" si="3">(BF67*D67)/N67</f>
        <v>158.79807692307693</v>
      </c>
    </row>
    <row r="68" spans="1:97">
      <c r="A68" t="s">
        <v>45</v>
      </c>
      <c r="B68" t="s">
        <v>182</v>
      </c>
      <c r="C68" t="s">
        <v>45</v>
      </c>
      <c r="D68">
        <v>332</v>
      </c>
      <c r="E68">
        <v>60</v>
      </c>
      <c r="F68">
        <v>32.166670000000003</v>
      </c>
      <c r="G68">
        <v>86</v>
      </c>
      <c r="H68">
        <v>15.531840000000001</v>
      </c>
      <c r="I68">
        <v>80502</v>
      </c>
      <c r="J68">
        <v>0.87</v>
      </c>
      <c r="K68">
        <v>29</v>
      </c>
      <c r="L68">
        <v>28</v>
      </c>
      <c r="M68">
        <v>26</v>
      </c>
      <c r="N68">
        <v>25</v>
      </c>
      <c r="O68">
        <v>52</v>
      </c>
      <c r="P68">
        <v>25</v>
      </c>
      <c r="Q68">
        <v>2</v>
      </c>
      <c r="R68">
        <v>4.4444400000000002E-2</v>
      </c>
      <c r="S68">
        <v>1.04</v>
      </c>
      <c r="T68">
        <v>0.37681160000000002</v>
      </c>
      <c r="U68">
        <v>0.40626190000000001</v>
      </c>
      <c r="V68">
        <v>0.76403010000000005</v>
      </c>
      <c r="W68">
        <v>0.23596990000000001</v>
      </c>
      <c r="X68">
        <v>4.3333000000000003E-2</v>
      </c>
      <c r="Y68" s="2">
        <f t="shared" si="2"/>
        <v>43.333000000000006</v>
      </c>
      <c r="Z68">
        <v>18183010</v>
      </c>
      <c r="AA68">
        <v>14458769</v>
      </c>
      <c r="AB68">
        <v>10474</v>
      </c>
      <c r="AC68">
        <v>1.26</v>
      </c>
      <c r="AD68">
        <v>0</v>
      </c>
      <c r="AE68">
        <v>0</v>
      </c>
      <c r="AF68">
        <v>0</v>
      </c>
      <c r="AG68">
        <v>0</v>
      </c>
      <c r="AH68">
        <v>10562.81</v>
      </c>
      <c r="AI68">
        <v>0</v>
      </c>
      <c r="AJ68">
        <v>10563</v>
      </c>
      <c r="AK68">
        <v>6</v>
      </c>
      <c r="AL68">
        <v>2</v>
      </c>
      <c r="AM68">
        <v>0</v>
      </c>
      <c r="AN68">
        <v>0</v>
      </c>
      <c r="AO68">
        <v>0</v>
      </c>
      <c r="AP68">
        <v>26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10563</v>
      </c>
      <c r="AY68">
        <v>0</v>
      </c>
      <c r="AZ68">
        <v>0</v>
      </c>
      <c r="BA68">
        <v>0</v>
      </c>
      <c r="BB68">
        <v>0</v>
      </c>
      <c r="BC68">
        <v>14300</v>
      </c>
      <c r="BD68">
        <v>6</v>
      </c>
      <c r="BE68">
        <v>14286</v>
      </c>
      <c r="BF68">
        <v>69</v>
      </c>
      <c r="BG68">
        <v>5680</v>
      </c>
      <c r="BH68">
        <v>193</v>
      </c>
      <c r="BI68">
        <v>29.430050000000001</v>
      </c>
      <c r="BJ68">
        <v>27.960090000000001</v>
      </c>
      <c r="BK68">
        <v>27.960090000000001</v>
      </c>
      <c r="BL68">
        <v>27.960090000000001</v>
      </c>
      <c r="BM68">
        <v>449078.1</v>
      </c>
      <c r="BN68">
        <v>5000350</v>
      </c>
      <c r="BO68">
        <v>36.853549999999998</v>
      </c>
      <c r="BP68">
        <v>5.5370119999999998</v>
      </c>
      <c r="BQ68">
        <v>0.5033647</v>
      </c>
      <c r="BR68">
        <v>6.6558549999999999</v>
      </c>
      <c r="BS68">
        <v>60291.82</v>
      </c>
      <c r="BT68">
        <v>35049.160000000003</v>
      </c>
      <c r="BU68">
        <v>15617.76</v>
      </c>
      <c r="CH68">
        <v>1</v>
      </c>
      <c r="CI68">
        <v>402</v>
      </c>
      <c r="CJ68">
        <v>478480</v>
      </c>
      <c r="CK68">
        <v>4980091</v>
      </c>
      <c r="CL68">
        <v>816</v>
      </c>
      <c r="CM68">
        <v>492625</v>
      </c>
      <c r="CN68">
        <v>4977029</v>
      </c>
      <c r="CO68">
        <v>35705.760000000002</v>
      </c>
      <c r="CP68">
        <v>49398.43</v>
      </c>
      <c r="CQ68">
        <v>35.705759999999998</v>
      </c>
      <c r="CR68">
        <v>49.398429999999998</v>
      </c>
      <c r="CS68">
        <f t="shared" si="3"/>
        <v>916.32</v>
      </c>
    </row>
    <row r="69" spans="1:97">
      <c r="A69" t="s">
        <v>46</v>
      </c>
      <c r="B69" t="s">
        <v>182</v>
      </c>
      <c r="C69" t="s">
        <v>46</v>
      </c>
      <c r="D69">
        <v>2463</v>
      </c>
      <c r="E69">
        <v>45</v>
      </c>
      <c r="F69">
        <v>21.4</v>
      </c>
      <c r="G69">
        <v>707</v>
      </c>
      <c r="H69">
        <v>12.830080000000001</v>
      </c>
      <c r="I69">
        <v>79158</v>
      </c>
      <c r="J69">
        <v>0.86</v>
      </c>
      <c r="K69">
        <v>294</v>
      </c>
      <c r="L69">
        <v>280</v>
      </c>
      <c r="M69">
        <v>212</v>
      </c>
      <c r="N69">
        <v>198</v>
      </c>
      <c r="O69">
        <v>424</v>
      </c>
      <c r="P69">
        <v>198</v>
      </c>
      <c r="Q69">
        <v>15</v>
      </c>
      <c r="R69">
        <v>3.83632E-2</v>
      </c>
      <c r="S69">
        <v>1.0707070000000001</v>
      </c>
      <c r="T69">
        <v>0.36054419999999998</v>
      </c>
      <c r="U69">
        <v>0.51901160000000002</v>
      </c>
      <c r="V69">
        <v>0.45579059999999999</v>
      </c>
      <c r="W69">
        <v>0.54420939999999995</v>
      </c>
      <c r="X69">
        <v>5.4349999999999997E-3</v>
      </c>
      <c r="Y69" s="2">
        <f t="shared" si="2"/>
        <v>5.4349999999999996</v>
      </c>
      <c r="Z69">
        <v>109552749</v>
      </c>
      <c r="AA69">
        <v>53973301</v>
      </c>
      <c r="AB69">
        <v>11616</v>
      </c>
      <c r="AC69">
        <v>2.0299999999999998</v>
      </c>
      <c r="AD69">
        <v>0.08</v>
      </c>
      <c r="AE69">
        <v>0.13</v>
      </c>
      <c r="AF69">
        <v>1.85</v>
      </c>
      <c r="AG69">
        <v>2033.6</v>
      </c>
      <c r="AH69">
        <v>107996.8</v>
      </c>
      <c r="AI69">
        <v>2034</v>
      </c>
      <c r="AJ69">
        <v>110030</v>
      </c>
      <c r="AK69">
        <v>55</v>
      </c>
      <c r="AL69">
        <v>2</v>
      </c>
      <c r="AM69">
        <v>2</v>
      </c>
      <c r="AN69">
        <v>0</v>
      </c>
      <c r="AO69">
        <v>0</v>
      </c>
      <c r="AP69">
        <v>210</v>
      </c>
      <c r="AQ69">
        <v>0</v>
      </c>
      <c r="AR69">
        <v>0</v>
      </c>
      <c r="AS69">
        <v>0</v>
      </c>
      <c r="AT69">
        <v>0</v>
      </c>
      <c r="AU69">
        <v>2034</v>
      </c>
      <c r="AV69">
        <v>0</v>
      </c>
      <c r="AW69">
        <v>0</v>
      </c>
      <c r="AX69">
        <v>107997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203336</v>
      </c>
      <c r="BF69">
        <v>133</v>
      </c>
      <c r="BG69">
        <v>34165</v>
      </c>
      <c r="BH69">
        <v>1177</v>
      </c>
      <c r="BI69">
        <v>29.027190000000001</v>
      </c>
      <c r="BJ69">
        <v>27.773990000000001</v>
      </c>
      <c r="BK69">
        <v>27.773990000000001</v>
      </c>
      <c r="BL69">
        <v>27.773990000000001</v>
      </c>
      <c r="BM69">
        <v>454133.9</v>
      </c>
      <c r="BN69">
        <v>5003612</v>
      </c>
      <c r="BO69">
        <v>332.6986</v>
      </c>
      <c r="BP69">
        <v>55.104860000000002</v>
      </c>
      <c r="BQ69">
        <v>0.42716949999999998</v>
      </c>
      <c r="BR69">
        <v>6.0375540000000001</v>
      </c>
      <c r="BS69">
        <v>17023.55</v>
      </c>
      <c r="BT69">
        <v>8135.0879999999997</v>
      </c>
      <c r="BU69">
        <v>4886.5820000000003</v>
      </c>
      <c r="BV69" s="1">
        <v>1155000000</v>
      </c>
      <c r="BW69" s="1">
        <v>5257000000</v>
      </c>
      <c r="BX69" s="1">
        <v>370000000</v>
      </c>
      <c r="BY69" s="1">
        <v>1664000000</v>
      </c>
      <c r="BZ69" s="1">
        <v>370500000</v>
      </c>
      <c r="CA69" s="1">
        <v>1940000000</v>
      </c>
      <c r="CB69">
        <v>215848</v>
      </c>
      <c r="CC69">
        <v>982751</v>
      </c>
      <c r="CD69">
        <v>125125</v>
      </c>
      <c r="CE69">
        <v>562730</v>
      </c>
      <c r="CF69">
        <v>133173</v>
      </c>
      <c r="CG69">
        <v>698951</v>
      </c>
      <c r="CH69">
        <v>3</v>
      </c>
      <c r="CI69">
        <v>402</v>
      </c>
      <c r="CJ69">
        <v>478480</v>
      </c>
      <c r="CK69">
        <v>4980091</v>
      </c>
      <c r="CL69">
        <v>816</v>
      </c>
      <c r="CM69">
        <v>492625</v>
      </c>
      <c r="CN69">
        <v>4977029</v>
      </c>
      <c r="CO69">
        <v>33851.85</v>
      </c>
      <c r="CP69">
        <v>46778.16</v>
      </c>
      <c r="CQ69">
        <v>33.851849999999999</v>
      </c>
      <c r="CR69">
        <v>46.77816</v>
      </c>
      <c r="CS69">
        <f t="shared" si="3"/>
        <v>1654.439393939394</v>
      </c>
    </row>
    <row r="70" spans="1:97">
      <c r="A70" t="s">
        <v>47</v>
      </c>
      <c r="B70" t="s">
        <v>163</v>
      </c>
      <c r="C70" t="s">
        <v>47</v>
      </c>
      <c r="D70">
        <v>18201</v>
      </c>
      <c r="E70">
        <v>607</v>
      </c>
      <c r="F70">
        <v>314.16669999999999</v>
      </c>
      <c r="G70">
        <v>9043</v>
      </c>
      <c r="H70">
        <v>301.56119999999999</v>
      </c>
      <c r="I70">
        <v>53172</v>
      </c>
      <c r="J70">
        <v>0.88</v>
      </c>
      <c r="K70">
        <v>1155</v>
      </c>
      <c r="L70">
        <v>839</v>
      </c>
      <c r="M70">
        <v>1041</v>
      </c>
      <c r="N70">
        <v>725</v>
      </c>
      <c r="O70">
        <v>2082</v>
      </c>
      <c r="P70">
        <v>725</v>
      </c>
      <c r="Q70">
        <v>317</v>
      </c>
      <c r="R70">
        <v>0.21937719999999999</v>
      </c>
      <c r="S70">
        <v>1.435862</v>
      </c>
      <c r="T70">
        <v>0.4799447</v>
      </c>
      <c r="U70">
        <v>0.16133890000000001</v>
      </c>
      <c r="V70">
        <v>0.19316340000000001</v>
      </c>
      <c r="W70">
        <v>0.80683660000000001</v>
      </c>
      <c r="X70">
        <v>1.983E-3</v>
      </c>
      <c r="Y70" s="2">
        <f t="shared" si="2"/>
        <v>1.9829999999999999</v>
      </c>
      <c r="Z70">
        <v>39627875</v>
      </c>
      <c r="AA70">
        <v>29683686</v>
      </c>
      <c r="AB70">
        <v>12500</v>
      </c>
      <c r="AC70">
        <v>1.34</v>
      </c>
      <c r="AD70">
        <v>0.32</v>
      </c>
      <c r="AE70">
        <v>0.37</v>
      </c>
      <c r="AF70">
        <v>0</v>
      </c>
      <c r="AG70">
        <v>8825.16</v>
      </c>
      <c r="AH70">
        <v>159128.6</v>
      </c>
      <c r="AI70">
        <v>0</v>
      </c>
      <c r="AJ70">
        <v>167954</v>
      </c>
      <c r="AK70">
        <v>30</v>
      </c>
      <c r="AL70">
        <v>6</v>
      </c>
      <c r="AM70">
        <v>0</v>
      </c>
      <c r="AN70">
        <v>31</v>
      </c>
      <c r="AO70">
        <v>15</v>
      </c>
      <c r="AP70">
        <v>993</v>
      </c>
      <c r="AQ70">
        <v>0</v>
      </c>
      <c r="AR70">
        <v>1</v>
      </c>
      <c r="AS70">
        <v>1</v>
      </c>
      <c r="AT70">
        <v>0</v>
      </c>
      <c r="AU70">
        <v>0</v>
      </c>
      <c r="AV70">
        <v>5401</v>
      </c>
      <c r="AW70">
        <v>3424</v>
      </c>
      <c r="AX70">
        <v>158737</v>
      </c>
      <c r="AY70">
        <v>0</v>
      </c>
      <c r="AZ70">
        <v>97</v>
      </c>
      <c r="BA70">
        <v>295</v>
      </c>
      <c r="BB70">
        <v>0</v>
      </c>
      <c r="BC70">
        <v>278589</v>
      </c>
      <c r="BD70">
        <v>98</v>
      </c>
      <c r="BE70">
        <v>245431</v>
      </c>
      <c r="BF70">
        <v>22</v>
      </c>
      <c r="BG70">
        <v>207030</v>
      </c>
      <c r="BH70">
        <v>9425</v>
      </c>
      <c r="BI70">
        <v>21.966049999999999</v>
      </c>
      <c r="BJ70">
        <v>26.521129999999999</v>
      </c>
      <c r="BK70">
        <v>26.521129999999999</v>
      </c>
      <c r="BL70">
        <v>26.521129999999999</v>
      </c>
      <c r="BM70">
        <v>511477.5</v>
      </c>
      <c r="BN70">
        <v>4953454</v>
      </c>
      <c r="BO70">
        <v>434.70429999999999</v>
      </c>
      <c r="BP70">
        <v>29.987279999999998</v>
      </c>
      <c r="BQ70">
        <v>7.5344900000000006E-2</v>
      </c>
      <c r="BR70">
        <v>14.49629</v>
      </c>
      <c r="BS70">
        <v>487263.7</v>
      </c>
      <c r="BT70">
        <v>252319.1</v>
      </c>
      <c r="BU70">
        <v>242092.5</v>
      </c>
      <c r="BV70" s="1">
        <v>1875000000</v>
      </c>
      <c r="BW70" s="1">
        <v>10050000000</v>
      </c>
      <c r="BX70" s="1">
        <v>564500000</v>
      </c>
      <c r="BY70" s="1">
        <v>3001000000</v>
      </c>
      <c r="BZ70" s="1">
        <v>322700000</v>
      </c>
      <c r="CA70" s="1">
        <v>2780000000</v>
      </c>
      <c r="CB70">
        <v>108530</v>
      </c>
      <c r="CC70">
        <v>581854</v>
      </c>
      <c r="CD70">
        <v>61350</v>
      </c>
      <c r="CE70">
        <v>326175</v>
      </c>
      <c r="CF70">
        <v>36378</v>
      </c>
      <c r="CG70">
        <v>313354</v>
      </c>
      <c r="CH70">
        <v>3</v>
      </c>
      <c r="CI70">
        <v>402</v>
      </c>
      <c r="CJ70">
        <v>478480</v>
      </c>
      <c r="CK70">
        <v>4980091</v>
      </c>
      <c r="CL70">
        <v>816</v>
      </c>
      <c r="CM70">
        <v>492625</v>
      </c>
      <c r="CN70">
        <v>4977029</v>
      </c>
      <c r="CO70">
        <v>42407.47</v>
      </c>
      <c r="CP70">
        <v>30186.46</v>
      </c>
      <c r="CQ70">
        <v>42.407470000000004</v>
      </c>
      <c r="CR70">
        <v>30.18646</v>
      </c>
      <c r="CS70">
        <f t="shared" si="3"/>
        <v>552.30620689655177</v>
      </c>
    </row>
    <row r="71" spans="1:97">
      <c r="A71" t="s">
        <v>48</v>
      </c>
      <c r="B71" t="s">
        <v>255</v>
      </c>
      <c r="C71" t="s">
        <v>48</v>
      </c>
      <c r="D71">
        <v>1440</v>
      </c>
      <c r="E71">
        <v>16</v>
      </c>
      <c r="F71">
        <v>7.9775280000000004</v>
      </c>
      <c r="G71">
        <v>448</v>
      </c>
      <c r="H71">
        <v>5.0189880000000002</v>
      </c>
      <c r="I71">
        <v>64250</v>
      </c>
      <c r="J71">
        <v>0.85</v>
      </c>
      <c r="K71">
        <v>241</v>
      </c>
      <c r="L71">
        <v>212</v>
      </c>
      <c r="M71">
        <v>147</v>
      </c>
      <c r="N71">
        <v>118</v>
      </c>
      <c r="O71">
        <v>294</v>
      </c>
      <c r="P71">
        <v>118</v>
      </c>
      <c r="Q71">
        <v>30</v>
      </c>
      <c r="R71">
        <v>0.12987009999999999</v>
      </c>
      <c r="S71">
        <v>1.245763</v>
      </c>
      <c r="T71">
        <v>0.42241380000000001</v>
      </c>
      <c r="U71">
        <v>0.92275229999999997</v>
      </c>
      <c r="V71">
        <v>0.1911284</v>
      </c>
      <c r="W71">
        <v>0.80887160000000002</v>
      </c>
      <c r="X71">
        <v>1.0647999999999999E-2</v>
      </c>
      <c r="Y71" s="2">
        <f t="shared" si="2"/>
        <v>10.648</v>
      </c>
      <c r="Z71">
        <v>89036263</v>
      </c>
      <c r="AA71">
        <v>65277277</v>
      </c>
      <c r="AB71">
        <v>12350</v>
      </c>
      <c r="AC71">
        <v>1.36</v>
      </c>
      <c r="AD71">
        <v>0.36</v>
      </c>
      <c r="AE71">
        <v>0.36</v>
      </c>
      <c r="AF71">
        <v>0</v>
      </c>
      <c r="AG71">
        <v>9419.4500000000007</v>
      </c>
      <c r="AH71">
        <v>126225.1</v>
      </c>
      <c r="AI71">
        <v>0</v>
      </c>
      <c r="AJ71">
        <v>135645</v>
      </c>
      <c r="AK71">
        <v>89</v>
      </c>
      <c r="AL71">
        <v>2</v>
      </c>
      <c r="AM71">
        <v>0</v>
      </c>
      <c r="AN71">
        <v>0</v>
      </c>
      <c r="AO71">
        <v>10</v>
      </c>
      <c r="AP71">
        <v>137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9419</v>
      </c>
      <c r="AX71">
        <v>126225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57505</v>
      </c>
      <c r="BF71">
        <v>64</v>
      </c>
      <c r="BG71">
        <v>18415</v>
      </c>
      <c r="BH71">
        <v>710</v>
      </c>
      <c r="BI71">
        <v>25.936620000000001</v>
      </c>
      <c r="BJ71">
        <v>29.89068</v>
      </c>
      <c r="BK71">
        <v>29.89068</v>
      </c>
      <c r="BL71">
        <v>29.89068</v>
      </c>
      <c r="BM71">
        <v>453654.1</v>
      </c>
      <c r="BN71">
        <v>4937446</v>
      </c>
      <c r="BO71">
        <v>408.93770000000001</v>
      </c>
      <c r="BP71">
        <v>89.244159999999994</v>
      </c>
      <c r="BQ71">
        <v>0.80400139999999998</v>
      </c>
      <c r="BR71">
        <v>4.5822349999999998</v>
      </c>
      <c r="BS71">
        <v>15759.78</v>
      </c>
      <c r="BT71">
        <v>7770.4480000000003</v>
      </c>
      <c r="BU71">
        <v>4903.0429999999997</v>
      </c>
      <c r="BV71">
        <v>89101688</v>
      </c>
      <c r="BW71" s="1">
        <v>390100000</v>
      </c>
      <c r="BX71">
        <v>24424050</v>
      </c>
      <c r="BY71" s="1">
        <v>129900000</v>
      </c>
      <c r="BZ71">
        <v>6797010</v>
      </c>
      <c r="CA71" s="1">
        <v>46300000</v>
      </c>
      <c r="CB71">
        <v>59086</v>
      </c>
      <c r="CC71">
        <v>258657</v>
      </c>
      <c r="CD71">
        <v>31408</v>
      </c>
      <c r="CE71">
        <v>167017</v>
      </c>
      <c r="CF71">
        <v>14370</v>
      </c>
      <c r="CG71">
        <v>97900</v>
      </c>
      <c r="CH71">
        <v>3</v>
      </c>
      <c r="CI71">
        <v>402</v>
      </c>
      <c r="CJ71">
        <v>478480</v>
      </c>
      <c r="CK71">
        <v>4980091</v>
      </c>
      <c r="CL71">
        <v>816</v>
      </c>
      <c r="CM71">
        <v>492625</v>
      </c>
      <c r="CN71">
        <v>4977029</v>
      </c>
      <c r="CO71">
        <v>49345.34</v>
      </c>
      <c r="CP71">
        <v>55548.02</v>
      </c>
      <c r="CQ71">
        <v>49.34534</v>
      </c>
      <c r="CR71">
        <v>55.548020000000001</v>
      </c>
      <c r="CS71">
        <f t="shared" si="3"/>
        <v>781.01694915254234</v>
      </c>
    </row>
    <row r="72" spans="1:97">
      <c r="A72" t="s">
        <v>49</v>
      </c>
      <c r="B72" t="s">
        <v>160</v>
      </c>
      <c r="C72" t="s">
        <v>49</v>
      </c>
      <c r="D72">
        <v>766</v>
      </c>
      <c r="E72">
        <v>2322</v>
      </c>
      <c r="G72">
        <v>252</v>
      </c>
      <c r="H72">
        <v>764.04110000000003</v>
      </c>
      <c r="I72">
        <v>26528</v>
      </c>
      <c r="J72">
        <v>0.66</v>
      </c>
      <c r="K72">
        <v>69</v>
      </c>
      <c r="L72">
        <v>58</v>
      </c>
      <c r="M72">
        <v>47</v>
      </c>
      <c r="N72">
        <v>36</v>
      </c>
      <c r="O72">
        <v>94</v>
      </c>
      <c r="P72">
        <v>36</v>
      </c>
      <c r="Q72">
        <v>12</v>
      </c>
      <c r="R72">
        <v>0.1791045</v>
      </c>
      <c r="S72">
        <v>1.3055559999999999</v>
      </c>
      <c r="T72">
        <v>0.46078429999999998</v>
      </c>
      <c r="U72">
        <v>0.1219932</v>
      </c>
      <c r="V72">
        <v>0.295657</v>
      </c>
      <c r="W72">
        <v>0.70434300000000005</v>
      </c>
      <c r="X72">
        <v>3.7302000000000002E-2</v>
      </c>
      <c r="Y72" s="2">
        <f t="shared" si="2"/>
        <v>37.302</v>
      </c>
      <c r="Z72">
        <v>7607605</v>
      </c>
      <c r="AA72">
        <v>4353701</v>
      </c>
      <c r="AB72">
        <v>12500</v>
      </c>
      <c r="AC72">
        <v>1.75</v>
      </c>
      <c r="AD72">
        <v>0.34</v>
      </c>
      <c r="AE72">
        <v>0.75</v>
      </c>
      <c r="AF72">
        <v>0</v>
      </c>
      <c r="AG72">
        <v>1233.68</v>
      </c>
      <c r="AH72">
        <v>4500.01</v>
      </c>
      <c r="AI72">
        <v>0</v>
      </c>
      <c r="AJ72">
        <v>5734</v>
      </c>
      <c r="AK72">
        <v>0</v>
      </c>
      <c r="AL72">
        <v>17</v>
      </c>
      <c r="AM72">
        <v>0</v>
      </c>
      <c r="AN72">
        <v>3</v>
      </c>
      <c r="AO72">
        <v>0</v>
      </c>
      <c r="AP72">
        <v>44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1234</v>
      </c>
      <c r="AW72">
        <v>0</v>
      </c>
      <c r="AX72">
        <v>4500</v>
      </c>
      <c r="AY72">
        <v>0</v>
      </c>
      <c r="AZ72">
        <v>0</v>
      </c>
      <c r="BA72">
        <v>0</v>
      </c>
      <c r="BB72">
        <v>0</v>
      </c>
      <c r="BC72">
        <v>2012</v>
      </c>
      <c r="BD72">
        <v>1</v>
      </c>
      <c r="BE72">
        <v>1991</v>
      </c>
      <c r="BF72">
        <v>4</v>
      </c>
      <c r="BG72">
        <v>11020</v>
      </c>
      <c r="BH72">
        <v>360</v>
      </c>
      <c r="BI72">
        <v>30.61111</v>
      </c>
      <c r="BJ72">
        <v>27.047720000000002</v>
      </c>
      <c r="BK72">
        <v>27.047720000000002</v>
      </c>
      <c r="BL72">
        <v>27.047720000000002</v>
      </c>
      <c r="BM72">
        <v>480314.9</v>
      </c>
      <c r="BN72">
        <v>4988936</v>
      </c>
      <c r="BO72">
        <v>11.996549999999999</v>
      </c>
      <c r="BP72">
        <v>0.32982519999999999</v>
      </c>
      <c r="BQ72">
        <v>1.0994200000000001E-2</v>
      </c>
      <c r="BR72">
        <v>36.372439999999997</v>
      </c>
      <c r="BS72">
        <v>1131918</v>
      </c>
      <c r="BT72">
        <v>531972.1</v>
      </c>
      <c r="BU72">
        <v>372380.5</v>
      </c>
      <c r="CH72">
        <v>1</v>
      </c>
      <c r="CI72">
        <v>402</v>
      </c>
      <c r="CJ72">
        <v>478480</v>
      </c>
      <c r="CK72">
        <v>4980091</v>
      </c>
      <c r="CL72">
        <v>816</v>
      </c>
      <c r="CM72">
        <v>492625</v>
      </c>
      <c r="CN72">
        <v>4977029</v>
      </c>
      <c r="CO72">
        <v>9032.8259999999991</v>
      </c>
      <c r="CP72">
        <v>17126.12</v>
      </c>
      <c r="CQ72">
        <v>9.032826</v>
      </c>
      <c r="CR72">
        <v>17.12612</v>
      </c>
      <c r="CS72">
        <f t="shared" si="3"/>
        <v>85.111111111111114</v>
      </c>
    </row>
    <row r="73" spans="1:97">
      <c r="A73" t="s">
        <v>50</v>
      </c>
      <c r="B73" t="s">
        <v>258</v>
      </c>
      <c r="C73" t="s">
        <v>50</v>
      </c>
      <c r="D73">
        <v>1102</v>
      </c>
      <c r="E73">
        <v>12</v>
      </c>
      <c r="F73">
        <v>5.6236560000000004</v>
      </c>
      <c r="G73">
        <v>430</v>
      </c>
      <c r="H73">
        <v>4.6047089999999997</v>
      </c>
      <c r="I73">
        <v>52833</v>
      </c>
      <c r="J73">
        <v>0.76</v>
      </c>
      <c r="K73">
        <v>362</v>
      </c>
      <c r="L73">
        <v>332</v>
      </c>
      <c r="M73">
        <v>275</v>
      </c>
      <c r="N73">
        <v>245</v>
      </c>
      <c r="O73">
        <v>550</v>
      </c>
      <c r="P73">
        <v>245</v>
      </c>
      <c r="Q73">
        <v>31</v>
      </c>
      <c r="R73">
        <v>6.3917500000000002E-2</v>
      </c>
      <c r="S73">
        <v>1.122449</v>
      </c>
      <c r="T73">
        <v>0.37722909999999998</v>
      </c>
      <c r="U73">
        <v>0.57588289999999998</v>
      </c>
      <c r="V73">
        <v>0.3028034</v>
      </c>
      <c r="W73">
        <v>0.69719660000000006</v>
      </c>
      <c r="X73">
        <v>4.5999999999999999E-3</v>
      </c>
      <c r="Y73" s="2">
        <f t="shared" si="2"/>
        <v>4.5999999999999996</v>
      </c>
      <c r="Z73">
        <v>89823618</v>
      </c>
      <c r="AA73">
        <v>63895896</v>
      </c>
      <c r="AB73">
        <v>12500</v>
      </c>
      <c r="AC73">
        <v>1.41</v>
      </c>
      <c r="AD73">
        <v>0.93</v>
      </c>
      <c r="AE73">
        <v>0.9</v>
      </c>
      <c r="AF73">
        <v>0</v>
      </c>
      <c r="AG73">
        <v>9421.25</v>
      </c>
      <c r="AH73">
        <v>148946.5</v>
      </c>
      <c r="AI73">
        <v>0</v>
      </c>
      <c r="AJ73">
        <v>158368</v>
      </c>
      <c r="AK73">
        <v>93</v>
      </c>
      <c r="AL73">
        <v>2</v>
      </c>
      <c r="AM73">
        <v>0</v>
      </c>
      <c r="AN73">
        <v>0</v>
      </c>
      <c r="AO73">
        <v>15</v>
      </c>
      <c r="AP73">
        <v>215</v>
      </c>
      <c r="AQ73">
        <v>0</v>
      </c>
      <c r="AR73">
        <v>0</v>
      </c>
      <c r="AS73">
        <v>45</v>
      </c>
      <c r="AT73">
        <v>0</v>
      </c>
      <c r="AU73">
        <v>0</v>
      </c>
      <c r="AV73">
        <v>0</v>
      </c>
      <c r="AW73">
        <v>9421</v>
      </c>
      <c r="AX73">
        <v>126832</v>
      </c>
      <c r="AY73">
        <v>0</v>
      </c>
      <c r="AZ73">
        <v>0</v>
      </c>
      <c r="BA73">
        <v>22115</v>
      </c>
      <c r="BB73">
        <v>0</v>
      </c>
      <c r="BC73">
        <v>0</v>
      </c>
      <c r="BD73">
        <v>0</v>
      </c>
      <c r="BE73">
        <v>75649</v>
      </c>
      <c r="BF73">
        <v>110</v>
      </c>
      <c r="BG73">
        <v>16570</v>
      </c>
      <c r="BH73">
        <v>523</v>
      </c>
      <c r="BI73">
        <v>31.682600000000001</v>
      </c>
      <c r="BJ73">
        <v>29.03387</v>
      </c>
      <c r="BK73">
        <v>29.03387</v>
      </c>
      <c r="BL73">
        <v>29.03387</v>
      </c>
      <c r="BM73">
        <v>424950.6</v>
      </c>
      <c r="BN73">
        <v>4976162</v>
      </c>
      <c r="BO73">
        <v>367.5419</v>
      </c>
      <c r="BP73">
        <v>93.334980000000002</v>
      </c>
      <c r="BQ73">
        <v>1.048708</v>
      </c>
      <c r="BR73">
        <v>3.9378799999999998</v>
      </c>
      <c r="BS73">
        <v>10239.48</v>
      </c>
      <c r="BT73">
        <v>4859.57</v>
      </c>
      <c r="BU73">
        <v>3995.44</v>
      </c>
      <c r="BV73">
        <v>20596380</v>
      </c>
      <c r="BW73">
        <v>87650876</v>
      </c>
      <c r="BX73">
        <v>5936539</v>
      </c>
      <c r="BY73">
        <v>26185013</v>
      </c>
      <c r="BZ73">
        <v>420000</v>
      </c>
      <c r="CA73">
        <v>2474300</v>
      </c>
      <c r="CB73">
        <v>18690</v>
      </c>
      <c r="CC73">
        <v>79538</v>
      </c>
      <c r="CD73">
        <v>9953</v>
      </c>
      <c r="CE73">
        <v>43899</v>
      </c>
      <c r="CF73">
        <v>4200</v>
      </c>
      <c r="CG73">
        <v>24743</v>
      </c>
      <c r="CH73">
        <v>3</v>
      </c>
      <c r="CI73">
        <v>402</v>
      </c>
      <c r="CJ73">
        <v>478480</v>
      </c>
      <c r="CK73">
        <v>4980091</v>
      </c>
      <c r="CL73">
        <v>816</v>
      </c>
      <c r="CM73">
        <v>492625</v>
      </c>
      <c r="CN73">
        <v>4977029</v>
      </c>
      <c r="CO73">
        <v>53673.41</v>
      </c>
      <c r="CP73">
        <v>67679.94</v>
      </c>
      <c r="CQ73">
        <v>53.673409999999997</v>
      </c>
      <c r="CR73">
        <v>67.679940000000002</v>
      </c>
      <c r="CS73">
        <f t="shared" si="3"/>
        <v>494.77551020408163</v>
      </c>
    </row>
    <row r="74" spans="1:97">
      <c r="A74" t="s">
        <v>51</v>
      </c>
      <c r="B74" t="s">
        <v>182</v>
      </c>
      <c r="C74" t="s">
        <v>51</v>
      </c>
      <c r="D74">
        <v>17145</v>
      </c>
      <c r="E74">
        <v>1619</v>
      </c>
      <c r="F74">
        <v>835</v>
      </c>
      <c r="G74">
        <v>11724</v>
      </c>
      <c r="H74">
        <v>1107.3050000000001</v>
      </c>
      <c r="I74">
        <v>39203</v>
      </c>
      <c r="J74">
        <v>0.81</v>
      </c>
      <c r="K74">
        <v>701</v>
      </c>
      <c r="L74">
        <v>524</v>
      </c>
      <c r="M74">
        <v>595</v>
      </c>
      <c r="N74">
        <v>418</v>
      </c>
      <c r="O74">
        <v>1190</v>
      </c>
      <c r="P74">
        <v>418</v>
      </c>
      <c r="Q74">
        <v>178</v>
      </c>
      <c r="R74">
        <v>0.2141998</v>
      </c>
      <c r="S74">
        <v>1.4234450000000001</v>
      </c>
      <c r="T74">
        <v>0.47676279999999999</v>
      </c>
      <c r="U74">
        <v>0.16266120000000001</v>
      </c>
      <c r="V74">
        <v>0.1850781</v>
      </c>
      <c r="W74">
        <v>0.81492189999999998</v>
      </c>
      <c r="X74">
        <v>3.4139999999999999E-3</v>
      </c>
      <c r="Y74" s="2">
        <f t="shared" si="2"/>
        <v>3.4140000000000001</v>
      </c>
      <c r="Z74">
        <v>23344824</v>
      </c>
      <c r="AA74">
        <v>17667595</v>
      </c>
      <c r="AB74">
        <v>11120</v>
      </c>
      <c r="AC74">
        <v>1.32</v>
      </c>
      <c r="AD74">
        <v>0.37</v>
      </c>
      <c r="AE74">
        <v>0.49</v>
      </c>
      <c r="AF74">
        <v>3.41</v>
      </c>
      <c r="AG74">
        <v>6221.92</v>
      </c>
      <c r="AH74">
        <v>90561.47</v>
      </c>
      <c r="AI74">
        <v>3298</v>
      </c>
      <c r="AJ74">
        <v>96783</v>
      </c>
      <c r="AK74">
        <v>11</v>
      </c>
      <c r="AL74">
        <v>9</v>
      </c>
      <c r="AM74">
        <v>14</v>
      </c>
      <c r="AN74">
        <v>0</v>
      </c>
      <c r="AO74">
        <v>11</v>
      </c>
      <c r="AP74">
        <v>564</v>
      </c>
      <c r="AQ74">
        <v>0</v>
      </c>
      <c r="AR74">
        <v>6</v>
      </c>
      <c r="AS74">
        <v>0</v>
      </c>
      <c r="AT74">
        <v>0</v>
      </c>
      <c r="AU74">
        <v>3298</v>
      </c>
      <c r="AV74">
        <v>0</v>
      </c>
      <c r="AW74">
        <v>2924</v>
      </c>
      <c r="AX74">
        <v>89602</v>
      </c>
      <c r="AY74">
        <v>0</v>
      </c>
      <c r="AZ74">
        <v>960</v>
      </c>
      <c r="BA74">
        <v>0</v>
      </c>
      <c r="BB74">
        <v>0</v>
      </c>
      <c r="BC74">
        <v>349204</v>
      </c>
      <c r="BD74">
        <v>55</v>
      </c>
      <c r="BE74">
        <v>347017</v>
      </c>
      <c r="BF74">
        <v>33</v>
      </c>
      <c r="BG74">
        <v>184760</v>
      </c>
      <c r="BH74">
        <v>9185</v>
      </c>
      <c r="BI74">
        <v>20.115410000000001</v>
      </c>
      <c r="BJ74">
        <v>26.856449999999999</v>
      </c>
      <c r="BK74">
        <v>26.856449999999999</v>
      </c>
      <c r="BL74">
        <v>26.856449999999999</v>
      </c>
      <c r="BM74">
        <v>467985.8</v>
      </c>
      <c r="BN74">
        <v>4974810</v>
      </c>
      <c r="BO74">
        <v>217.0538</v>
      </c>
      <c r="BP74">
        <v>10.587870000000001</v>
      </c>
      <c r="BQ74">
        <v>4.0258000000000002E-2</v>
      </c>
      <c r="BR74">
        <v>20.500240000000002</v>
      </c>
      <c r="BS74">
        <v>1360779</v>
      </c>
      <c r="BT74">
        <v>729003.1</v>
      </c>
      <c r="BU74">
        <v>930520.6</v>
      </c>
      <c r="BV74" s="1">
        <v>15050000000</v>
      </c>
      <c r="BW74" s="1">
        <v>32280000000</v>
      </c>
      <c r="BX74" s="1">
        <v>4934000000</v>
      </c>
      <c r="BY74" s="1">
        <v>9959000000</v>
      </c>
      <c r="BZ74" s="1">
        <v>9861000000</v>
      </c>
      <c r="CA74" s="1">
        <v>17600000000</v>
      </c>
      <c r="CB74">
        <v>1065448</v>
      </c>
      <c r="CC74">
        <v>2285411</v>
      </c>
      <c r="CD74">
        <v>627508</v>
      </c>
      <c r="CE74">
        <v>1266552</v>
      </c>
      <c r="CF74">
        <v>880122</v>
      </c>
      <c r="CG74">
        <v>1574929</v>
      </c>
      <c r="CH74">
        <v>3</v>
      </c>
      <c r="CI74">
        <v>402</v>
      </c>
      <c r="CJ74">
        <v>478480</v>
      </c>
      <c r="CK74">
        <v>4980091</v>
      </c>
      <c r="CL74">
        <v>816</v>
      </c>
      <c r="CM74">
        <v>492625</v>
      </c>
      <c r="CN74">
        <v>4977029</v>
      </c>
      <c r="CO74">
        <v>11748.34</v>
      </c>
      <c r="CP74">
        <v>24739.01</v>
      </c>
      <c r="CQ74">
        <v>11.748340000000001</v>
      </c>
      <c r="CR74">
        <v>24.73901</v>
      </c>
      <c r="CS74">
        <f t="shared" si="3"/>
        <v>1353.5526315789473</v>
      </c>
    </row>
    <row r="75" spans="1:97">
      <c r="A75" t="s">
        <v>245</v>
      </c>
      <c r="B75" t="s">
        <v>246</v>
      </c>
      <c r="C75" t="s">
        <v>245</v>
      </c>
      <c r="D75">
        <v>6363</v>
      </c>
      <c r="E75">
        <v>68</v>
      </c>
      <c r="F75">
        <v>36.526879999999998</v>
      </c>
      <c r="G75">
        <v>1884</v>
      </c>
      <c r="H75">
        <v>20.209209999999999</v>
      </c>
      <c r="I75">
        <v>63450</v>
      </c>
      <c r="J75">
        <v>0.9</v>
      </c>
      <c r="K75">
        <v>473</v>
      </c>
      <c r="L75">
        <v>395</v>
      </c>
      <c r="M75">
        <v>379</v>
      </c>
      <c r="N75">
        <v>301</v>
      </c>
      <c r="O75">
        <v>758</v>
      </c>
      <c r="P75">
        <v>301</v>
      </c>
      <c r="Q75">
        <v>79</v>
      </c>
      <c r="R75">
        <v>0.13232830000000001</v>
      </c>
      <c r="S75">
        <v>1.259136</v>
      </c>
      <c r="T75">
        <v>0.42251949999999999</v>
      </c>
      <c r="U75">
        <v>0.46354329999999999</v>
      </c>
      <c r="V75">
        <v>0.1876206</v>
      </c>
      <c r="W75">
        <v>0.81237939999999997</v>
      </c>
      <c r="X75">
        <v>4.1970000000000002E-3</v>
      </c>
      <c r="Y75" s="2">
        <f t="shared" si="2"/>
        <v>4.1970000000000001</v>
      </c>
      <c r="Z75">
        <v>85959072</v>
      </c>
      <c r="AA75">
        <v>63539846</v>
      </c>
      <c r="AB75">
        <v>12350</v>
      </c>
      <c r="AC75">
        <v>1.35</v>
      </c>
      <c r="AD75">
        <v>0.3</v>
      </c>
      <c r="AE75">
        <v>0.31</v>
      </c>
      <c r="AF75">
        <v>0</v>
      </c>
      <c r="AG75">
        <v>9861.57</v>
      </c>
      <c r="AH75">
        <v>165821.4</v>
      </c>
      <c r="AI75">
        <v>0</v>
      </c>
      <c r="AJ75">
        <v>175683</v>
      </c>
      <c r="AK75">
        <v>93</v>
      </c>
      <c r="AL75">
        <v>2</v>
      </c>
      <c r="AM75">
        <v>0</v>
      </c>
      <c r="AN75">
        <v>20</v>
      </c>
      <c r="AO75">
        <v>0</v>
      </c>
      <c r="AP75">
        <v>359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9862</v>
      </c>
      <c r="AW75">
        <v>0</v>
      </c>
      <c r="AX75">
        <v>165821</v>
      </c>
      <c r="AY75">
        <v>0</v>
      </c>
      <c r="AZ75">
        <v>0</v>
      </c>
      <c r="BA75">
        <v>0</v>
      </c>
      <c r="BB75">
        <v>0</v>
      </c>
      <c r="BC75">
        <v>148331</v>
      </c>
      <c r="BD75">
        <v>98</v>
      </c>
      <c r="BE75">
        <v>154028</v>
      </c>
      <c r="BF75">
        <v>39</v>
      </c>
      <c r="BG75">
        <v>97580</v>
      </c>
      <c r="BH75">
        <v>3397</v>
      </c>
      <c r="BI75">
        <v>28.725349999999999</v>
      </c>
      <c r="BJ75">
        <v>26.40982</v>
      </c>
      <c r="BK75">
        <v>26.40982</v>
      </c>
      <c r="BL75">
        <v>26.40982</v>
      </c>
      <c r="BM75">
        <v>503239.8</v>
      </c>
      <c r="BN75">
        <v>5001514</v>
      </c>
      <c r="BO75">
        <v>420.4667</v>
      </c>
      <c r="BP75">
        <v>93.224819999999994</v>
      </c>
      <c r="BQ75">
        <v>0.65192190000000005</v>
      </c>
      <c r="BR75">
        <v>4.5102440000000001</v>
      </c>
      <c r="BS75">
        <v>52912.43</v>
      </c>
      <c r="BT75">
        <v>28248.240000000002</v>
      </c>
      <c r="BU75">
        <v>15666.67</v>
      </c>
      <c r="BV75" s="1">
        <v>1318000000</v>
      </c>
      <c r="BW75" s="1">
        <v>5318000000</v>
      </c>
      <c r="BX75" s="1">
        <v>420400000</v>
      </c>
      <c r="BY75" s="1">
        <v>1877000000</v>
      </c>
      <c r="BZ75" s="1">
        <v>172400000</v>
      </c>
      <c r="CA75" s="1">
        <v>1100000000</v>
      </c>
      <c r="CB75">
        <v>207161</v>
      </c>
      <c r="CC75">
        <v>835744</v>
      </c>
      <c r="CD75">
        <v>119768</v>
      </c>
      <c r="CE75">
        <v>534837</v>
      </c>
      <c r="CF75">
        <v>89944</v>
      </c>
      <c r="CG75">
        <v>571931</v>
      </c>
      <c r="CH75">
        <v>3</v>
      </c>
      <c r="CI75">
        <v>402</v>
      </c>
      <c r="CJ75">
        <v>478480</v>
      </c>
      <c r="CK75">
        <v>4980091</v>
      </c>
      <c r="CL75">
        <v>816</v>
      </c>
      <c r="CM75">
        <v>492625</v>
      </c>
      <c r="CN75">
        <v>4977029</v>
      </c>
      <c r="CO75">
        <v>32741.29</v>
      </c>
      <c r="CP75">
        <v>26686.87</v>
      </c>
      <c r="CQ75">
        <v>32.741280000000003</v>
      </c>
      <c r="CR75">
        <v>26.686859999999999</v>
      </c>
      <c r="CS75">
        <f t="shared" si="3"/>
        <v>824.44186046511629</v>
      </c>
    </row>
    <row r="76" spans="1:97">
      <c r="A76" t="s">
        <v>247</v>
      </c>
      <c r="B76" t="s">
        <v>182</v>
      </c>
      <c r="C76" t="s">
        <v>247</v>
      </c>
      <c r="D76">
        <v>3236</v>
      </c>
      <c r="E76">
        <v>36</v>
      </c>
      <c r="F76">
        <v>18.741569999999999</v>
      </c>
      <c r="G76">
        <v>181</v>
      </c>
      <c r="H76">
        <v>2.0236770000000002</v>
      </c>
      <c r="I76">
        <v>79126</v>
      </c>
      <c r="J76">
        <v>0.87</v>
      </c>
      <c r="K76">
        <v>439</v>
      </c>
      <c r="L76">
        <v>391</v>
      </c>
      <c r="M76">
        <v>326</v>
      </c>
      <c r="N76">
        <v>278</v>
      </c>
      <c r="O76">
        <v>652</v>
      </c>
      <c r="P76">
        <v>278</v>
      </c>
      <c r="Q76">
        <v>49</v>
      </c>
      <c r="R76">
        <v>8.89292E-2</v>
      </c>
      <c r="S76">
        <v>1.1726620000000001</v>
      </c>
      <c r="T76">
        <v>0.39371980000000001</v>
      </c>
      <c r="U76">
        <v>0.52909620000000002</v>
      </c>
      <c r="V76">
        <v>0.31143939999999998</v>
      </c>
      <c r="W76">
        <v>0.68856059999999997</v>
      </c>
      <c r="X76">
        <v>4.2329999999999998E-3</v>
      </c>
      <c r="Y76" s="2">
        <f t="shared" si="2"/>
        <v>4.2329999999999997</v>
      </c>
      <c r="Z76">
        <v>86197321</v>
      </c>
      <c r="AA76">
        <v>62827642</v>
      </c>
      <c r="AB76">
        <v>12350</v>
      </c>
      <c r="AC76">
        <v>1.37</v>
      </c>
      <c r="AD76">
        <v>0.54</v>
      </c>
      <c r="AE76">
        <v>0.56000000000000005</v>
      </c>
      <c r="AF76">
        <v>0</v>
      </c>
      <c r="AG76">
        <v>8158.4</v>
      </c>
      <c r="AH76">
        <v>164327</v>
      </c>
      <c r="AI76">
        <v>0</v>
      </c>
      <c r="AJ76">
        <v>172485</v>
      </c>
      <c r="AK76">
        <v>89</v>
      </c>
      <c r="AL76">
        <v>2</v>
      </c>
      <c r="AM76">
        <v>0</v>
      </c>
      <c r="AN76">
        <v>21</v>
      </c>
      <c r="AO76">
        <v>0</v>
      </c>
      <c r="AP76">
        <v>296</v>
      </c>
      <c r="AQ76">
        <v>8</v>
      </c>
      <c r="AR76">
        <v>0</v>
      </c>
      <c r="AS76">
        <v>1</v>
      </c>
      <c r="AT76">
        <v>0</v>
      </c>
      <c r="AU76">
        <v>0</v>
      </c>
      <c r="AV76">
        <v>8158</v>
      </c>
      <c r="AW76">
        <v>0</v>
      </c>
      <c r="AX76">
        <v>155809</v>
      </c>
      <c r="AY76">
        <v>8369</v>
      </c>
      <c r="AZ76">
        <v>0</v>
      </c>
      <c r="BA76">
        <v>148</v>
      </c>
      <c r="BB76">
        <v>0</v>
      </c>
      <c r="BC76">
        <v>165016</v>
      </c>
      <c r="BD76">
        <v>79</v>
      </c>
      <c r="BE76">
        <v>165093</v>
      </c>
      <c r="BF76">
        <v>82</v>
      </c>
      <c r="BG76">
        <v>48560</v>
      </c>
      <c r="BH76">
        <v>1668</v>
      </c>
      <c r="BI76">
        <v>29.11271</v>
      </c>
      <c r="BJ76">
        <v>27.810949999999998</v>
      </c>
      <c r="BK76">
        <v>27.810949999999998</v>
      </c>
      <c r="BL76">
        <v>27.810949999999998</v>
      </c>
      <c r="BM76">
        <v>444245</v>
      </c>
      <c r="BN76">
        <v>4985624</v>
      </c>
      <c r="BO76">
        <v>490.3854</v>
      </c>
      <c r="BP76">
        <v>89.441019999999995</v>
      </c>
      <c r="BQ76">
        <v>0.52304689999999998</v>
      </c>
      <c r="BR76">
        <v>5.48278</v>
      </c>
      <c r="BS76">
        <v>30241.57</v>
      </c>
      <c r="BT76">
        <v>15588.05</v>
      </c>
      <c r="BU76">
        <v>1691.51</v>
      </c>
      <c r="BV76" s="1">
        <v>828800000</v>
      </c>
      <c r="BW76" s="1">
        <v>4683000000</v>
      </c>
      <c r="BX76" s="1">
        <v>275600000</v>
      </c>
      <c r="BY76" s="1">
        <v>1733000000</v>
      </c>
      <c r="BZ76" s="1">
        <v>210700000</v>
      </c>
      <c r="CA76" s="1">
        <v>1460000000</v>
      </c>
      <c r="CB76">
        <v>155667</v>
      </c>
      <c r="CC76">
        <v>879682</v>
      </c>
      <c r="CD76">
        <v>95211</v>
      </c>
      <c r="CE76">
        <v>598588</v>
      </c>
      <c r="CF76">
        <v>107449</v>
      </c>
      <c r="CG76">
        <v>742207</v>
      </c>
      <c r="CH76">
        <v>3</v>
      </c>
      <c r="CI76">
        <v>402</v>
      </c>
      <c r="CJ76">
        <v>478480</v>
      </c>
      <c r="CK76">
        <v>4980091</v>
      </c>
      <c r="CL76">
        <v>816</v>
      </c>
      <c r="CM76">
        <v>492625</v>
      </c>
      <c r="CN76">
        <v>4977029</v>
      </c>
      <c r="CO76">
        <v>34679.160000000003</v>
      </c>
      <c r="CP76">
        <v>49137.46</v>
      </c>
      <c r="CQ76">
        <v>34.679160000000003</v>
      </c>
      <c r="CR76">
        <v>49.137459999999997</v>
      </c>
      <c r="CS76">
        <f t="shared" si="3"/>
        <v>954.50359712230215</v>
      </c>
    </row>
    <row r="77" spans="1:97">
      <c r="A77" t="s">
        <v>248</v>
      </c>
      <c r="B77" t="s">
        <v>163</v>
      </c>
      <c r="C77" t="s">
        <v>248</v>
      </c>
      <c r="D77">
        <v>29751</v>
      </c>
      <c r="E77">
        <v>382</v>
      </c>
      <c r="F77">
        <v>210.16669999999999</v>
      </c>
      <c r="G77">
        <v>7638</v>
      </c>
      <c r="H77">
        <v>97.989959999999996</v>
      </c>
      <c r="I77">
        <v>59090</v>
      </c>
      <c r="J77">
        <v>0.9</v>
      </c>
      <c r="K77">
        <v>1826</v>
      </c>
      <c r="L77">
        <v>1475</v>
      </c>
      <c r="M77">
        <v>1584</v>
      </c>
      <c r="N77">
        <v>1233</v>
      </c>
      <c r="O77">
        <v>3168</v>
      </c>
      <c r="P77">
        <v>1233</v>
      </c>
      <c r="Q77">
        <v>352</v>
      </c>
      <c r="R77">
        <v>0.1430313</v>
      </c>
      <c r="S77">
        <v>1.284672</v>
      </c>
      <c r="T77">
        <v>0.42891960000000001</v>
      </c>
      <c r="U77">
        <v>0.21803810000000001</v>
      </c>
      <c r="V77">
        <v>0.2248947</v>
      </c>
      <c r="W77">
        <v>0.7751053</v>
      </c>
      <c r="X77">
        <v>1.0430000000000001E-3</v>
      </c>
      <c r="Y77" s="2">
        <f t="shared" si="2"/>
        <v>1.0430000000000001</v>
      </c>
      <c r="Z77">
        <v>73256345</v>
      </c>
      <c r="AA77">
        <v>52363107</v>
      </c>
      <c r="AB77">
        <v>12400</v>
      </c>
      <c r="AC77">
        <v>1.4</v>
      </c>
      <c r="AD77">
        <v>0.65</v>
      </c>
      <c r="AE77">
        <v>0.83</v>
      </c>
      <c r="AF77">
        <v>0.81</v>
      </c>
      <c r="AG77">
        <v>30731.59</v>
      </c>
      <c r="AH77">
        <v>314640.8</v>
      </c>
      <c r="AI77">
        <v>2811</v>
      </c>
      <c r="AJ77">
        <v>345372</v>
      </c>
      <c r="AK77">
        <v>78</v>
      </c>
      <c r="AL77">
        <v>4</v>
      </c>
      <c r="AM77">
        <v>11</v>
      </c>
      <c r="AN77">
        <v>28</v>
      </c>
      <c r="AO77">
        <v>42</v>
      </c>
      <c r="AP77">
        <v>1437</v>
      </c>
      <c r="AQ77">
        <v>0</v>
      </c>
      <c r="AR77">
        <v>35</v>
      </c>
      <c r="AS77">
        <v>31</v>
      </c>
      <c r="AT77">
        <v>0</v>
      </c>
      <c r="AU77">
        <v>2811</v>
      </c>
      <c r="AV77">
        <v>12674</v>
      </c>
      <c r="AW77">
        <v>15247</v>
      </c>
      <c r="AX77">
        <v>300846</v>
      </c>
      <c r="AY77">
        <v>0</v>
      </c>
      <c r="AZ77">
        <v>8599</v>
      </c>
      <c r="BA77">
        <v>5196</v>
      </c>
      <c r="BB77">
        <v>0</v>
      </c>
      <c r="BC77">
        <v>950893</v>
      </c>
      <c r="BD77">
        <v>161</v>
      </c>
      <c r="BE77">
        <v>954741</v>
      </c>
      <c r="BF77">
        <v>52</v>
      </c>
      <c r="BG77">
        <v>363560</v>
      </c>
      <c r="BH77">
        <v>16393</v>
      </c>
      <c r="BI77">
        <v>22.177759999999999</v>
      </c>
      <c r="BJ77">
        <v>26.774999999999999</v>
      </c>
      <c r="BK77">
        <v>26.774999999999999</v>
      </c>
      <c r="BL77">
        <v>26.774999999999999</v>
      </c>
      <c r="BM77">
        <v>495284.7</v>
      </c>
      <c r="BN77">
        <v>4963463</v>
      </c>
      <c r="BO77">
        <v>769.43409999999994</v>
      </c>
      <c r="BP77">
        <v>77.946759999999998</v>
      </c>
      <c r="BQ77">
        <v>0.15683449999999999</v>
      </c>
      <c r="BR77">
        <v>9.8712780000000002</v>
      </c>
      <c r="BS77">
        <v>284387.5</v>
      </c>
      <c r="BT77">
        <v>156699.4</v>
      </c>
      <c r="BU77">
        <v>73011.05</v>
      </c>
      <c r="BV77" s="1">
        <v>24860000000</v>
      </c>
      <c r="BW77" s="1">
        <v>57530000000</v>
      </c>
      <c r="BX77" s="1">
        <v>7916000000</v>
      </c>
      <c r="BY77" s="1">
        <v>17910000000</v>
      </c>
      <c r="BZ77" s="1">
        <v>5018000000</v>
      </c>
      <c r="CA77" s="1">
        <v>11300000000</v>
      </c>
      <c r="CB77">
        <v>835473</v>
      </c>
      <c r="CC77">
        <v>1933485</v>
      </c>
      <c r="CD77">
        <v>471450</v>
      </c>
      <c r="CE77">
        <v>1066664</v>
      </c>
      <c r="CF77">
        <v>614350</v>
      </c>
      <c r="CG77">
        <v>1379157</v>
      </c>
      <c r="CH77">
        <v>3</v>
      </c>
      <c r="CI77">
        <v>402</v>
      </c>
      <c r="CJ77">
        <v>478480</v>
      </c>
      <c r="CK77">
        <v>4980091</v>
      </c>
      <c r="CL77">
        <v>816</v>
      </c>
      <c r="CM77">
        <v>492625</v>
      </c>
      <c r="CN77">
        <v>4977029</v>
      </c>
      <c r="CO77">
        <v>23640.83</v>
      </c>
      <c r="CP77">
        <v>13824.27</v>
      </c>
      <c r="CQ77">
        <v>23.640830000000001</v>
      </c>
      <c r="CR77">
        <v>13.82427</v>
      </c>
      <c r="CS77">
        <f t="shared" si="3"/>
        <v>1254.705596107056</v>
      </c>
    </row>
    <row r="78" spans="1:97">
      <c r="A78" t="s">
        <v>249</v>
      </c>
      <c r="B78" t="s">
        <v>255</v>
      </c>
      <c r="C78" t="s">
        <v>249</v>
      </c>
      <c r="D78">
        <v>1361</v>
      </c>
      <c r="E78">
        <v>71</v>
      </c>
      <c r="F78">
        <v>38.894739999999999</v>
      </c>
      <c r="G78">
        <v>85</v>
      </c>
      <c r="H78">
        <v>4.4424080000000004</v>
      </c>
      <c r="I78">
        <v>50263</v>
      </c>
      <c r="J78">
        <v>0.87</v>
      </c>
      <c r="K78">
        <v>138</v>
      </c>
      <c r="L78">
        <v>127</v>
      </c>
      <c r="M78">
        <v>100</v>
      </c>
      <c r="N78">
        <v>89</v>
      </c>
      <c r="O78">
        <v>200</v>
      </c>
      <c r="P78">
        <v>89</v>
      </c>
      <c r="Q78">
        <v>12</v>
      </c>
      <c r="R78">
        <v>6.9364200000000001E-2</v>
      </c>
      <c r="S78">
        <v>1.1235949999999999</v>
      </c>
      <c r="T78">
        <v>0.38314179999999998</v>
      </c>
      <c r="U78">
        <v>0.40312160000000002</v>
      </c>
      <c r="V78">
        <v>0.45240380000000002</v>
      </c>
      <c r="W78">
        <v>0.54759619999999998</v>
      </c>
      <c r="X78">
        <v>1.2768E-2</v>
      </c>
      <c r="Y78" s="2">
        <f t="shared" si="2"/>
        <v>12.768000000000001</v>
      </c>
      <c r="Z78">
        <v>36948869</v>
      </c>
      <c r="AA78">
        <v>26431737</v>
      </c>
      <c r="AB78">
        <v>11398</v>
      </c>
      <c r="AC78">
        <v>1.4</v>
      </c>
      <c r="AD78">
        <v>0.68</v>
      </c>
      <c r="AE78">
        <v>0.94</v>
      </c>
      <c r="AF78">
        <v>15.83</v>
      </c>
      <c r="AG78">
        <v>8402.99</v>
      </c>
      <c r="AH78">
        <v>31909.17</v>
      </c>
      <c r="AI78">
        <v>6381</v>
      </c>
      <c r="AJ78">
        <v>40312</v>
      </c>
      <c r="AK78">
        <v>19</v>
      </c>
      <c r="AL78">
        <v>2</v>
      </c>
      <c r="AM78">
        <v>4</v>
      </c>
      <c r="AN78">
        <v>7</v>
      </c>
      <c r="AO78">
        <v>0</v>
      </c>
      <c r="AP78">
        <v>88</v>
      </c>
      <c r="AQ78">
        <v>0</v>
      </c>
      <c r="AR78">
        <v>1</v>
      </c>
      <c r="AS78">
        <v>0</v>
      </c>
      <c r="AT78">
        <v>0</v>
      </c>
      <c r="AU78">
        <v>6381</v>
      </c>
      <c r="AV78">
        <v>2022</v>
      </c>
      <c r="AW78">
        <v>0</v>
      </c>
      <c r="AX78">
        <v>31753</v>
      </c>
      <c r="AY78">
        <v>0</v>
      </c>
      <c r="AZ78">
        <v>156</v>
      </c>
      <c r="BA78">
        <v>0</v>
      </c>
      <c r="BB78">
        <v>0</v>
      </c>
      <c r="BC78">
        <v>0</v>
      </c>
      <c r="BD78">
        <v>0</v>
      </c>
      <c r="BE78">
        <v>90957</v>
      </c>
      <c r="BF78">
        <v>108</v>
      </c>
      <c r="BG78">
        <v>16215</v>
      </c>
      <c r="BH78">
        <v>739</v>
      </c>
      <c r="BI78">
        <v>21.94181</v>
      </c>
      <c r="BJ78">
        <v>29.399480000000001</v>
      </c>
      <c r="BK78">
        <v>29.399480000000001</v>
      </c>
      <c r="BL78">
        <v>29.399480000000001</v>
      </c>
      <c r="BM78">
        <v>456144.3</v>
      </c>
      <c r="BN78">
        <v>4957590</v>
      </c>
      <c r="BO78">
        <v>117.0792</v>
      </c>
      <c r="BP78">
        <v>19.133769999999998</v>
      </c>
      <c r="BQ78">
        <v>0.33568019999999998</v>
      </c>
      <c r="BR78">
        <v>6.1189809999999998</v>
      </c>
      <c r="BS78">
        <v>63999.07</v>
      </c>
      <c r="BT78">
        <v>34750.410000000003</v>
      </c>
      <c r="BU78">
        <v>3997.0030000000002</v>
      </c>
      <c r="BV78" s="1">
        <v>217300000</v>
      </c>
      <c r="BW78" s="1">
        <v>639200000</v>
      </c>
      <c r="BX78">
        <v>68314955</v>
      </c>
      <c r="BY78" s="1">
        <v>223200000</v>
      </c>
      <c r="BZ78">
        <v>15542886</v>
      </c>
      <c r="CA78" s="1">
        <v>62200000</v>
      </c>
      <c r="CB78">
        <v>330686</v>
      </c>
      <c r="CC78">
        <v>972848</v>
      </c>
      <c r="CD78">
        <v>206122</v>
      </c>
      <c r="CE78">
        <v>673371</v>
      </c>
      <c r="CF78">
        <v>146631</v>
      </c>
      <c r="CG78">
        <v>586546</v>
      </c>
      <c r="CH78">
        <v>3</v>
      </c>
      <c r="CI78">
        <v>402</v>
      </c>
      <c r="CJ78">
        <v>478480</v>
      </c>
      <c r="CK78">
        <v>4980091</v>
      </c>
      <c r="CL78">
        <v>816</v>
      </c>
      <c r="CM78">
        <v>492625</v>
      </c>
      <c r="CN78">
        <v>4977029</v>
      </c>
      <c r="CO78">
        <v>31704.9</v>
      </c>
      <c r="CP78">
        <v>41336.839999999997</v>
      </c>
      <c r="CQ78">
        <v>31.704899999999999</v>
      </c>
      <c r="CR78">
        <v>41.336849999999998</v>
      </c>
      <c r="CS78">
        <f t="shared" si="3"/>
        <v>1651.5505617977528</v>
      </c>
    </row>
    <row r="79" spans="1:97">
      <c r="A79" t="s">
        <v>250</v>
      </c>
      <c r="B79" t="s">
        <v>255</v>
      </c>
      <c r="C79" t="s">
        <v>250</v>
      </c>
      <c r="D79">
        <v>3833</v>
      </c>
      <c r="E79">
        <v>570</v>
      </c>
      <c r="F79">
        <v>266.28570000000002</v>
      </c>
      <c r="G79">
        <v>1308</v>
      </c>
      <c r="H79">
        <v>194.62260000000001</v>
      </c>
      <c r="I79">
        <v>47468</v>
      </c>
      <c r="J79">
        <v>0.87</v>
      </c>
      <c r="K79">
        <v>345</v>
      </c>
      <c r="L79">
        <v>279</v>
      </c>
      <c r="M79">
        <v>283</v>
      </c>
      <c r="N79">
        <v>217</v>
      </c>
      <c r="O79">
        <v>566</v>
      </c>
      <c r="P79">
        <v>217</v>
      </c>
      <c r="Q79">
        <v>67</v>
      </c>
      <c r="R79">
        <v>0.15617719999999999</v>
      </c>
      <c r="S79">
        <v>1.3041469999999999</v>
      </c>
      <c r="T79">
        <v>0.43875969999999997</v>
      </c>
      <c r="U79">
        <v>0.16855149999999999</v>
      </c>
      <c r="V79">
        <v>0.30657790000000001</v>
      </c>
      <c r="W79">
        <v>0.69342210000000004</v>
      </c>
      <c r="X79">
        <v>6.038E-3</v>
      </c>
      <c r="Y79" s="2">
        <f t="shared" si="2"/>
        <v>6.0380000000000003</v>
      </c>
      <c r="Z79">
        <v>25941696</v>
      </c>
      <c r="AA79">
        <v>17236452</v>
      </c>
      <c r="AB79">
        <v>12450</v>
      </c>
      <c r="AC79">
        <v>1.51</v>
      </c>
      <c r="AD79">
        <v>0.15</v>
      </c>
      <c r="AE79">
        <v>0.22</v>
      </c>
      <c r="AF79">
        <v>0</v>
      </c>
      <c r="AG79">
        <v>1679.12</v>
      </c>
      <c r="AH79">
        <v>46020.959999999999</v>
      </c>
      <c r="AI79">
        <v>0</v>
      </c>
      <c r="AJ79">
        <v>47700</v>
      </c>
      <c r="AK79">
        <v>7</v>
      </c>
      <c r="AL79">
        <v>7</v>
      </c>
      <c r="AM79">
        <v>0</v>
      </c>
      <c r="AN79">
        <v>6</v>
      </c>
      <c r="AO79">
        <v>0</v>
      </c>
      <c r="AP79">
        <v>277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1679</v>
      </c>
      <c r="AW79">
        <v>0</v>
      </c>
      <c r="AX79">
        <v>46021</v>
      </c>
      <c r="AY79">
        <v>0</v>
      </c>
      <c r="AZ79">
        <v>0</v>
      </c>
      <c r="BA79">
        <v>0</v>
      </c>
      <c r="BB79">
        <v>0</v>
      </c>
      <c r="BC79">
        <v>50357</v>
      </c>
      <c r="BD79">
        <v>20</v>
      </c>
      <c r="BE79">
        <v>52301</v>
      </c>
      <c r="BF79">
        <v>22</v>
      </c>
      <c r="BG79">
        <v>47175</v>
      </c>
      <c r="BH79">
        <v>1864</v>
      </c>
      <c r="BI79">
        <v>25.308479999999999</v>
      </c>
      <c r="BJ79">
        <v>26.937840000000001</v>
      </c>
      <c r="BK79">
        <v>26.937840000000001</v>
      </c>
      <c r="BL79">
        <v>26.937840000000001</v>
      </c>
      <c r="BM79">
        <v>449706.6</v>
      </c>
      <c r="BN79">
        <v>4946297</v>
      </c>
      <c r="BO79">
        <v>121.55840000000001</v>
      </c>
      <c r="BP79">
        <v>6.7206989999999998</v>
      </c>
      <c r="BQ79">
        <v>5.1303000000000001E-2</v>
      </c>
      <c r="BR79">
        <v>18.08717</v>
      </c>
      <c r="BS79">
        <v>371652</v>
      </c>
      <c r="BT79">
        <v>180735.5</v>
      </c>
      <c r="BU79">
        <v>126825.1</v>
      </c>
      <c r="BV79" s="1">
        <v>529900000</v>
      </c>
      <c r="BW79" s="1">
        <v>1737000000</v>
      </c>
      <c r="BX79" s="1">
        <v>147600000</v>
      </c>
      <c r="BY79" s="1">
        <v>574900000</v>
      </c>
      <c r="BZ79">
        <v>74879564</v>
      </c>
      <c r="CA79" s="1">
        <v>286000000</v>
      </c>
      <c r="CB79">
        <v>151092</v>
      </c>
      <c r="CC79">
        <v>495202</v>
      </c>
      <c r="CD79">
        <v>82842</v>
      </c>
      <c r="CE79">
        <v>322684</v>
      </c>
      <c r="CF79">
        <v>56684</v>
      </c>
      <c r="CG79">
        <v>216240</v>
      </c>
      <c r="CH79">
        <v>3</v>
      </c>
      <c r="CI79">
        <v>402</v>
      </c>
      <c r="CJ79">
        <v>478480</v>
      </c>
      <c r="CK79">
        <v>4980091</v>
      </c>
      <c r="CL79">
        <v>816</v>
      </c>
      <c r="CM79">
        <v>492625</v>
      </c>
      <c r="CN79">
        <v>4977029</v>
      </c>
      <c r="CO79">
        <v>44384.02</v>
      </c>
      <c r="CP79">
        <v>52786.77</v>
      </c>
      <c r="CQ79">
        <v>44.38402</v>
      </c>
      <c r="CR79">
        <v>52.786769999999997</v>
      </c>
      <c r="CS79">
        <f t="shared" si="3"/>
        <v>388.59907834101381</v>
      </c>
    </row>
    <row r="80" spans="1:97">
      <c r="A80" t="s">
        <v>251</v>
      </c>
      <c r="B80" t="s">
        <v>158</v>
      </c>
      <c r="C80" t="s">
        <v>251</v>
      </c>
      <c r="D80">
        <v>6863</v>
      </c>
      <c r="E80">
        <v>109</v>
      </c>
      <c r="F80">
        <v>52.55556</v>
      </c>
      <c r="G80">
        <v>1634</v>
      </c>
      <c r="H80">
        <v>26.017379999999999</v>
      </c>
      <c r="I80">
        <v>76876</v>
      </c>
      <c r="J80">
        <v>0.88</v>
      </c>
      <c r="K80">
        <v>511</v>
      </c>
      <c r="L80">
        <v>442</v>
      </c>
      <c r="M80">
        <v>403</v>
      </c>
      <c r="N80">
        <v>334</v>
      </c>
      <c r="O80">
        <v>806</v>
      </c>
      <c r="P80">
        <v>334</v>
      </c>
      <c r="Q80">
        <v>70</v>
      </c>
      <c r="R80">
        <v>0.1055807</v>
      </c>
      <c r="S80">
        <v>1.2065870000000001</v>
      </c>
      <c r="T80">
        <v>0.40461849999999999</v>
      </c>
      <c r="U80">
        <v>0.3923258</v>
      </c>
      <c r="V80">
        <v>0.20781530000000001</v>
      </c>
      <c r="W80">
        <v>0.79218469999999996</v>
      </c>
      <c r="X80">
        <v>3.6229999999999999E-3</v>
      </c>
      <c r="Y80" s="2">
        <f t="shared" si="2"/>
        <v>3.6229999999999998</v>
      </c>
      <c r="Z80">
        <v>84137385</v>
      </c>
      <c r="AA80">
        <v>58820070</v>
      </c>
      <c r="AB80">
        <v>12500</v>
      </c>
      <c r="AC80">
        <v>1.43</v>
      </c>
      <c r="AD80">
        <v>0.46</v>
      </c>
      <c r="AE80">
        <v>0.74</v>
      </c>
      <c r="AF80">
        <v>3.88</v>
      </c>
      <c r="AG80">
        <v>22567.18</v>
      </c>
      <c r="AH80">
        <v>135540.1</v>
      </c>
      <c r="AI80">
        <v>6135</v>
      </c>
      <c r="AJ80">
        <v>158107</v>
      </c>
      <c r="AK80">
        <v>63</v>
      </c>
      <c r="AL80">
        <v>3</v>
      </c>
      <c r="AM80">
        <v>5</v>
      </c>
      <c r="AN80">
        <v>0</v>
      </c>
      <c r="AO80">
        <v>25</v>
      </c>
      <c r="AP80">
        <v>372</v>
      </c>
      <c r="AQ80">
        <v>0</v>
      </c>
      <c r="AR80">
        <v>0</v>
      </c>
      <c r="AS80">
        <v>1</v>
      </c>
      <c r="AT80">
        <v>0</v>
      </c>
      <c r="AU80">
        <v>6135</v>
      </c>
      <c r="AV80">
        <v>0</v>
      </c>
      <c r="AW80">
        <v>16432</v>
      </c>
      <c r="AX80">
        <v>134998</v>
      </c>
      <c r="AY80">
        <v>0</v>
      </c>
      <c r="AZ80">
        <v>0</v>
      </c>
      <c r="BA80">
        <v>542</v>
      </c>
      <c r="BB80">
        <v>0</v>
      </c>
      <c r="BC80">
        <v>376460</v>
      </c>
      <c r="BD80">
        <v>82</v>
      </c>
      <c r="BE80">
        <v>377364</v>
      </c>
      <c r="BF80">
        <v>88</v>
      </c>
      <c r="BG80">
        <v>76605</v>
      </c>
      <c r="BH80">
        <v>3311</v>
      </c>
      <c r="BI80">
        <v>23.136510000000001</v>
      </c>
      <c r="BJ80">
        <v>26.62471</v>
      </c>
      <c r="BK80">
        <v>26.62471</v>
      </c>
      <c r="BL80">
        <v>26.62471</v>
      </c>
      <c r="BM80">
        <v>507647</v>
      </c>
      <c r="BN80">
        <v>4982351</v>
      </c>
      <c r="BO80">
        <v>359.81479999999999</v>
      </c>
      <c r="BP80">
        <v>62.804169999999999</v>
      </c>
      <c r="BQ80">
        <v>0.41869450000000002</v>
      </c>
      <c r="BR80">
        <v>5.7291540000000003</v>
      </c>
      <c r="BS80">
        <v>77011.59</v>
      </c>
      <c r="BT80">
        <v>37153.629999999997</v>
      </c>
      <c r="BU80">
        <v>18335.560000000001</v>
      </c>
      <c r="BV80" s="1">
        <v>3851000000</v>
      </c>
      <c r="BW80" s="1">
        <v>10560000000</v>
      </c>
      <c r="BX80" s="1">
        <v>1040000000</v>
      </c>
      <c r="BY80" s="1">
        <v>2987000000</v>
      </c>
      <c r="BZ80" s="1">
        <v>583100000</v>
      </c>
      <c r="CA80" s="1">
        <v>2050000000</v>
      </c>
      <c r="CB80">
        <v>527853</v>
      </c>
      <c r="CC80">
        <v>1447251</v>
      </c>
      <c r="CD80">
        <v>278676</v>
      </c>
      <c r="CE80">
        <v>800765</v>
      </c>
      <c r="CF80">
        <v>281267</v>
      </c>
      <c r="CG80">
        <v>991016</v>
      </c>
      <c r="CH80">
        <v>3</v>
      </c>
      <c r="CI80">
        <v>402</v>
      </c>
      <c r="CJ80">
        <v>478480</v>
      </c>
      <c r="CK80">
        <v>4980091</v>
      </c>
      <c r="CL80">
        <v>816</v>
      </c>
      <c r="CM80">
        <v>492625</v>
      </c>
      <c r="CN80">
        <v>4977029</v>
      </c>
      <c r="CO80">
        <v>29254.36</v>
      </c>
      <c r="CP80">
        <v>15936.68</v>
      </c>
      <c r="CQ80">
        <v>29.254359999999998</v>
      </c>
      <c r="CR80">
        <v>15.936680000000001</v>
      </c>
      <c r="CS80">
        <f t="shared" si="3"/>
        <v>1808.2155688622754</v>
      </c>
    </row>
    <row r="81" spans="1:97">
      <c r="A81" t="s">
        <v>60</v>
      </c>
      <c r="B81" t="s">
        <v>158</v>
      </c>
      <c r="C81" t="s">
        <v>61</v>
      </c>
      <c r="D81">
        <v>1140</v>
      </c>
      <c r="E81">
        <v>447</v>
      </c>
      <c r="F81">
        <v>210</v>
      </c>
      <c r="G81">
        <v>50</v>
      </c>
      <c r="H81">
        <v>19.602429999999998</v>
      </c>
      <c r="I81">
        <v>60652</v>
      </c>
      <c r="J81">
        <v>0.89</v>
      </c>
      <c r="K81">
        <v>189</v>
      </c>
      <c r="L81">
        <v>134</v>
      </c>
      <c r="M81">
        <v>172</v>
      </c>
      <c r="N81">
        <v>117</v>
      </c>
      <c r="O81">
        <v>344</v>
      </c>
      <c r="P81">
        <v>117</v>
      </c>
      <c r="Q81">
        <v>56</v>
      </c>
      <c r="R81">
        <v>0.24454149999999999</v>
      </c>
      <c r="S81">
        <v>1.470086</v>
      </c>
      <c r="T81">
        <v>0.49855070000000001</v>
      </c>
      <c r="U81">
        <v>0.1228171</v>
      </c>
      <c r="V81">
        <v>0.14686830000000001</v>
      </c>
      <c r="W81">
        <v>0.85313170000000005</v>
      </c>
      <c r="X81">
        <v>1.2673E-2</v>
      </c>
      <c r="Y81" s="2">
        <f t="shared" si="2"/>
        <v>12.673</v>
      </c>
      <c r="Z81">
        <v>10991764</v>
      </c>
      <c r="AA81">
        <v>8340334</v>
      </c>
      <c r="AB81">
        <v>12500</v>
      </c>
      <c r="AC81">
        <v>1.32</v>
      </c>
      <c r="AD81">
        <v>0.3</v>
      </c>
      <c r="AE81">
        <v>0.47</v>
      </c>
      <c r="AF81">
        <v>0</v>
      </c>
      <c r="AG81">
        <v>1754.08</v>
      </c>
      <c r="AH81">
        <v>19370.45</v>
      </c>
      <c r="AI81">
        <v>0</v>
      </c>
      <c r="AJ81">
        <v>21125</v>
      </c>
      <c r="AK81">
        <v>3</v>
      </c>
      <c r="AL81">
        <v>8</v>
      </c>
      <c r="AM81">
        <v>0</v>
      </c>
      <c r="AN81">
        <v>0</v>
      </c>
      <c r="AO81">
        <v>7</v>
      </c>
      <c r="AP81">
        <v>164</v>
      </c>
      <c r="AQ81">
        <v>0</v>
      </c>
      <c r="AR81">
        <v>0</v>
      </c>
      <c r="AS81">
        <v>1</v>
      </c>
      <c r="AT81">
        <v>0</v>
      </c>
      <c r="AU81">
        <v>0</v>
      </c>
      <c r="AV81">
        <v>0</v>
      </c>
      <c r="AW81">
        <v>1754</v>
      </c>
      <c r="AX81">
        <v>19237</v>
      </c>
      <c r="AY81">
        <v>0</v>
      </c>
      <c r="AZ81">
        <v>0</v>
      </c>
      <c r="BA81">
        <v>133</v>
      </c>
      <c r="BB81">
        <v>0</v>
      </c>
      <c r="BC81">
        <v>11494</v>
      </c>
      <c r="BD81">
        <v>13</v>
      </c>
      <c r="BE81">
        <v>10755</v>
      </c>
      <c r="BF81">
        <v>15</v>
      </c>
      <c r="BG81">
        <v>16885</v>
      </c>
      <c r="BH81">
        <v>630</v>
      </c>
      <c r="BI81">
        <v>26.801590000000001</v>
      </c>
      <c r="BJ81">
        <v>26.535869999999999</v>
      </c>
      <c r="BK81">
        <v>26.535869999999999</v>
      </c>
      <c r="BL81">
        <v>26.535869999999999</v>
      </c>
      <c r="BM81">
        <v>518483.9</v>
      </c>
      <c r="BN81">
        <v>4974602</v>
      </c>
      <c r="BO81">
        <v>48.03783</v>
      </c>
      <c r="BP81">
        <v>2.5507040000000001</v>
      </c>
      <c r="BQ81">
        <v>3.5426399999999997E-2</v>
      </c>
      <c r="BR81">
        <v>18.833169999999999</v>
      </c>
      <c r="BS81">
        <v>368579.5</v>
      </c>
      <c r="BT81">
        <v>203688.7</v>
      </c>
      <c r="BU81">
        <v>16165.77</v>
      </c>
      <c r="BV81" s="1">
        <v>352300000</v>
      </c>
      <c r="BW81" s="1">
        <v>1250000000</v>
      </c>
      <c r="BX81" s="1">
        <v>110600000</v>
      </c>
      <c r="BY81" s="1">
        <v>399100000</v>
      </c>
      <c r="BZ81">
        <v>5875140</v>
      </c>
      <c r="CA81" s="1">
        <v>31300000</v>
      </c>
      <c r="CB81">
        <v>237384</v>
      </c>
      <c r="CC81">
        <v>842074</v>
      </c>
      <c r="CD81">
        <v>130492</v>
      </c>
      <c r="CE81">
        <v>470957</v>
      </c>
      <c r="CF81">
        <v>97919</v>
      </c>
      <c r="CG81">
        <v>521763</v>
      </c>
      <c r="CH81">
        <v>3</v>
      </c>
      <c r="CI81">
        <v>402</v>
      </c>
      <c r="CJ81">
        <v>478480</v>
      </c>
      <c r="CK81">
        <v>4980091</v>
      </c>
      <c r="CL81">
        <v>816</v>
      </c>
      <c r="CM81">
        <v>492625</v>
      </c>
      <c r="CN81">
        <v>4977029</v>
      </c>
      <c r="CO81">
        <v>40378.800000000003</v>
      </c>
      <c r="CP81">
        <v>25972.6</v>
      </c>
      <c r="CQ81">
        <v>40.378799999999998</v>
      </c>
      <c r="CR81">
        <v>25.9726</v>
      </c>
      <c r="CS81">
        <f t="shared" si="3"/>
        <v>146.15384615384616</v>
      </c>
    </row>
    <row r="82" spans="1:97">
      <c r="A82" t="s">
        <v>62</v>
      </c>
      <c r="B82" t="s">
        <v>158</v>
      </c>
      <c r="C82" t="s">
        <v>62</v>
      </c>
      <c r="D82">
        <v>1917</v>
      </c>
      <c r="E82">
        <v>252</v>
      </c>
      <c r="F82">
        <v>145.5</v>
      </c>
      <c r="G82">
        <v>357</v>
      </c>
      <c r="H82">
        <v>46.934649999999998</v>
      </c>
      <c r="I82">
        <v>76530</v>
      </c>
      <c r="J82">
        <v>0.9</v>
      </c>
      <c r="K82">
        <v>258</v>
      </c>
      <c r="L82">
        <v>211</v>
      </c>
      <c r="M82">
        <v>204</v>
      </c>
      <c r="N82">
        <v>157</v>
      </c>
      <c r="O82">
        <v>408</v>
      </c>
      <c r="P82">
        <v>157</v>
      </c>
      <c r="Q82">
        <v>48</v>
      </c>
      <c r="R82">
        <v>0.1553398</v>
      </c>
      <c r="S82">
        <v>1.299363</v>
      </c>
      <c r="T82">
        <v>0.43870969999999998</v>
      </c>
      <c r="U82">
        <v>0.1730816</v>
      </c>
      <c r="V82">
        <v>0.34945019999999999</v>
      </c>
      <c r="W82">
        <v>0.65054979999999996</v>
      </c>
      <c r="X82">
        <v>8.3289999999999996E-3</v>
      </c>
      <c r="Y82" s="2">
        <f t="shared" si="2"/>
        <v>8.3289999999999988</v>
      </c>
      <c r="Z82">
        <v>22293211</v>
      </c>
      <c r="AA82">
        <v>17169294</v>
      </c>
      <c r="AB82">
        <v>12500</v>
      </c>
      <c r="AC82">
        <v>1.3</v>
      </c>
      <c r="AD82">
        <v>1.26</v>
      </c>
      <c r="AE82">
        <v>1.24</v>
      </c>
      <c r="AF82">
        <v>5.22</v>
      </c>
      <c r="AG82">
        <v>6753.61</v>
      </c>
      <c r="AH82">
        <v>28555.040000000001</v>
      </c>
      <c r="AI82">
        <v>1842</v>
      </c>
      <c r="AJ82">
        <v>35309</v>
      </c>
      <c r="AK82">
        <v>8</v>
      </c>
      <c r="AL82">
        <v>5</v>
      </c>
      <c r="AM82">
        <v>7</v>
      </c>
      <c r="AN82">
        <v>0</v>
      </c>
      <c r="AO82">
        <v>22</v>
      </c>
      <c r="AP82">
        <v>153</v>
      </c>
      <c r="AQ82">
        <v>0</v>
      </c>
      <c r="AR82">
        <v>16</v>
      </c>
      <c r="AS82">
        <v>6</v>
      </c>
      <c r="AT82">
        <v>0</v>
      </c>
      <c r="AU82">
        <v>1842</v>
      </c>
      <c r="AV82">
        <v>0</v>
      </c>
      <c r="AW82">
        <v>4911</v>
      </c>
      <c r="AX82">
        <v>26377</v>
      </c>
      <c r="AY82">
        <v>0</v>
      </c>
      <c r="AZ82">
        <v>1264</v>
      </c>
      <c r="BA82">
        <v>913</v>
      </c>
      <c r="BB82">
        <v>0</v>
      </c>
      <c r="BC82">
        <v>102820</v>
      </c>
      <c r="BD82">
        <v>20</v>
      </c>
      <c r="BE82">
        <v>103557</v>
      </c>
      <c r="BF82">
        <v>87</v>
      </c>
      <c r="BG82">
        <v>28255</v>
      </c>
      <c r="BH82">
        <v>1164</v>
      </c>
      <c r="BI82">
        <v>24.274059999999999</v>
      </c>
      <c r="BJ82">
        <v>28.70036</v>
      </c>
      <c r="BK82">
        <v>28.70036</v>
      </c>
      <c r="BL82">
        <v>28.70036</v>
      </c>
      <c r="BM82">
        <v>518150.40000000002</v>
      </c>
      <c r="BN82">
        <v>4977431</v>
      </c>
      <c r="BO82">
        <v>75.672389999999993</v>
      </c>
      <c r="BP82">
        <v>7.6063210000000003</v>
      </c>
      <c r="BQ82">
        <v>0.1226826</v>
      </c>
      <c r="BR82">
        <v>9.9486190000000008</v>
      </c>
      <c r="BS82">
        <v>250477.8</v>
      </c>
      <c r="BT82">
        <v>152089.79999999999</v>
      </c>
      <c r="BU82">
        <v>46646.11</v>
      </c>
      <c r="CH82">
        <v>1</v>
      </c>
      <c r="CI82">
        <v>402</v>
      </c>
      <c r="CJ82">
        <v>478480</v>
      </c>
      <c r="CK82">
        <v>4980091</v>
      </c>
      <c r="CL82">
        <v>816</v>
      </c>
      <c r="CM82">
        <v>492625</v>
      </c>
      <c r="CN82">
        <v>4977029</v>
      </c>
      <c r="CO82">
        <v>39759.519999999997</v>
      </c>
      <c r="CP82">
        <v>25528.6</v>
      </c>
      <c r="CQ82">
        <v>39.759509999999999</v>
      </c>
      <c r="CR82">
        <v>25.528600000000001</v>
      </c>
      <c r="CS82">
        <f t="shared" si="3"/>
        <v>1062.2866242038217</v>
      </c>
    </row>
    <row r="83" spans="1:97">
      <c r="A83" t="s">
        <v>63</v>
      </c>
      <c r="B83" t="s">
        <v>158</v>
      </c>
      <c r="C83" t="s">
        <v>63</v>
      </c>
      <c r="D83">
        <v>355</v>
      </c>
      <c r="E83">
        <v>198</v>
      </c>
      <c r="F83">
        <v>87.5</v>
      </c>
      <c r="G83">
        <v>17</v>
      </c>
      <c r="H83">
        <v>9.4768670000000004</v>
      </c>
      <c r="I83">
        <v>80907</v>
      </c>
      <c r="J83">
        <v>0.94</v>
      </c>
      <c r="K83">
        <v>46</v>
      </c>
      <c r="L83">
        <v>43</v>
      </c>
      <c r="M83">
        <v>34</v>
      </c>
      <c r="N83">
        <v>31</v>
      </c>
      <c r="O83">
        <v>68</v>
      </c>
      <c r="P83">
        <v>31</v>
      </c>
      <c r="Q83">
        <v>4</v>
      </c>
      <c r="R83">
        <v>7.0175399999999999E-2</v>
      </c>
      <c r="S83">
        <v>1.0967739999999999</v>
      </c>
      <c r="T83">
        <v>0.3908046</v>
      </c>
      <c r="U83">
        <v>0.19930220000000001</v>
      </c>
      <c r="V83">
        <v>0.49608279999999999</v>
      </c>
      <c r="W83">
        <v>0.50391719999999995</v>
      </c>
      <c r="X83">
        <v>3.6559000000000001E-2</v>
      </c>
      <c r="Y83" s="2">
        <f t="shared" si="2"/>
        <v>36.559000000000005</v>
      </c>
      <c r="Z83">
        <v>11439220</v>
      </c>
      <c r="AA83">
        <v>6434893</v>
      </c>
      <c r="AB83">
        <v>12500</v>
      </c>
      <c r="AC83">
        <v>1.78</v>
      </c>
      <c r="AD83">
        <v>0.67</v>
      </c>
      <c r="AE83">
        <v>0.66</v>
      </c>
      <c r="AF83">
        <v>0</v>
      </c>
      <c r="AG83">
        <v>1156.82</v>
      </c>
      <c r="AH83">
        <v>5619.46</v>
      </c>
      <c r="AI83">
        <v>0</v>
      </c>
      <c r="AJ83">
        <v>6776</v>
      </c>
      <c r="AK83">
        <v>2</v>
      </c>
      <c r="AL83">
        <v>4</v>
      </c>
      <c r="AM83">
        <v>0</v>
      </c>
      <c r="AN83">
        <v>0</v>
      </c>
      <c r="AO83">
        <v>6</v>
      </c>
      <c r="AP83">
        <v>28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1157</v>
      </c>
      <c r="AX83">
        <v>5619</v>
      </c>
      <c r="AY83">
        <v>0</v>
      </c>
      <c r="AZ83">
        <v>0</v>
      </c>
      <c r="BA83">
        <v>0</v>
      </c>
      <c r="BB83">
        <v>0</v>
      </c>
      <c r="BC83">
        <v>1641</v>
      </c>
      <c r="BD83">
        <v>3</v>
      </c>
      <c r="BE83">
        <v>1564</v>
      </c>
      <c r="BF83">
        <v>7</v>
      </c>
      <c r="BG83">
        <v>4720</v>
      </c>
      <c r="BH83">
        <v>175</v>
      </c>
      <c r="BI83">
        <v>26.971430000000002</v>
      </c>
      <c r="BJ83">
        <v>26.74999</v>
      </c>
      <c r="BK83">
        <v>26.74999</v>
      </c>
      <c r="BL83">
        <v>26.74999</v>
      </c>
      <c r="BM83">
        <v>518823.6</v>
      </c>
      <c r="BN83">
        <v>4977193</v>
      </c>
      <c r="BO83">
        <v>18.26182</v>
      </c>
      <c r="BP83">
        <v>1.7938419999999999</v>
      </c>
      <c r="BQ83">
        <v>0.13798779999999999</v>
      </c>
      <c r="BR83">
        <v>10.18028</v>
      </c>
      <c r="BS83">
        <v>91152.57</v>
      </c>
      <c r="BT83">
        <v>44934.36</v>
      </c>
      <c r="BU83">
        <v>4365.0529999999999</v>
      </c>
      <c r="BV83" s="1">
        <v>722700000</v>
      </c>
      <c r="BW83" s="1">
        <v>2357000000</v>
      </c>
      <c r="BX83" s="1">
        <v>237000000</v>
      </c>
      <c r="BY83" s="1">
        <v>825500000</v>
      </c>
      <c r="BZ83">
        <v>80542662</v>
      </c>
      <c r="CA83" s="1">
        <v>316000000</v>
      </c>
      <c r="CB83">
        <v>318069</v>
      </c>
      <c r="CC83">
        <v>1037411</v>
      </c>
      <c r="CD83">
        <v>170696</v>
      </c>
      <c r="CE83">
        <v>594506</v>
      </c>
      <c r="CF83">
        <v>204423</v>
      </c>
      <c r="CG83">
        <v>801315</v>
      </c>
      <c r="CH83">
        <v>3</v>
      </c>
      <c r="CI83">
        <v>402</v>
      </c>
      <c r="CJ83">
        <v>478480</v>
      </c>
      <c r="CK83">
        <v>4980091</v>
      </c>
      <c r="CL83">
        <v>816</v>
      </c>
      <c r="CM83">
        <v>492625</v>
      </c>
      <c r="CN83">
        <v>4977029</v>
      </c>
      <c r="CO83">
        <v>40447.550000000003</v>
      </c>
      <c r="CP83">
        <v>26199.07</v>
      </c>
      <c r="CQ83">
        <v>40.44755</v>
      </c>
      <c r="CR83">
        <v>26.199069999999999</v>
      </c>
      <c r="CS83">
        <f t="shared" si="3"/>
        <v>80.161290322580641</v>
      </c>
    </row>
    <row r="84" spans="1:97">
      <c r="A84" t="s">
        <v>64</v>
      </c>
      <c r="B84" t="s">
        <v>258</v>
      </c>
      <c r="C84" t="s">
        <v>64</v>
      </c>
      <c r="D84">
        <v>2331</v>
      </c>
      <c r="E84">
        <v>29</v>
      </c>
      <c r="F84">
        <v>14.78481</v>
      </c>
      <c r="G84">
        <v>352</v>
      </c>
      <c r="H84">
        <v>4.4536939999999996</v>
      </c>
      <c r="I84">
        <v>75000</v>
      </c>
      <c r="J84">
        <v>0.81</v>
      </c>
      <c r="K84">
        <v>309</v>
      </c>
      <c r="L84">
        <v>294</v>
      </c>
      <c r="M84">
        <v>234</v>
      </c>
      <c r="N84">
        <v>219</v>
      </c>
      <c r="O84">
        <v>468</v>
      </c>
      <c r="P84">
        <v>219</v>
      </c>
      <c r="Q84">
        <v>16</v>
      </c>
      <c r="R84">
        <v>3.6951499999999998E-2</v>
      </c>
      <c r="S84">
        <v>1.0684929999999999</v>
      </c>
      <c r="T84">
        <v>0.35944700000000002</v>
      </c>
      <c r="U84">
        <v>0.4930696</v>
      </c>
      <c r="V84">
        <v>0.47502759999999999</v>
      </c>
      <c r="W84">
        <v>0.52497240000000001</v>
      </c>
      <c r="X84">
        <v>4.901E-3</v>
      </c>
      <c r="Y84" s="2">
        <f t="shared" si="2"/>
        <v>4.9009999999999998</v>
      </c>
      <c r="Z84">
        <v>73356988</v>
      </c>
      <c r="AA84">
        <v>48489291</v>
      </c>
      <c r="AB84">
        <v>10324</v>
      </c>
      <c r="AC84">
        <v>1.51</v>
      </c>
      <c r="AD84">
        <v>0.91</v>
      </c>
      <c r="AE84">
        <v>0.82</v>
      </c>
      <c r="AF84">
        <v>0</v>
      </c>
      <c r="AG84">
        <v>8364.52</v>
      </c>
      <c r="AH84">
        <v>107013.8</v>
      </c>
      <c r="AI84">
        <v>0</v>
      </c>
      <c r="AJ84">
        <v>115378</v>
      </c>
      <c r="AK84">
        <v>79</v>
      </c>
      <c r="AL84">
        <v>1</v>
      </c>
      <c r="AM84">
        <v>0</v>
      </c>
      <c r="AN84">
        <v>0</v>
      </c>
      <c r="AO84">
        <v>15</v>
      </c>
      <c r="AP84">
        <v>187</v>
      </c>
      <c r="AQ84">
        <v>0</v>
      </c>
      <c r="AR84">
        <v>0</v>
      </c>
      <c r="AS84">
        <v>32</v>
      </c>
      <c r="AT84">
        <v>0</v>
      </c>
      <c r="AU84">
        <v>0</v>
      </c>
      <c r="AV84">
        <v>0</v>
      </c>
      <c r="AW84">
        <v>8365</v>
      </c>
      <c r="AX84">
        <v>96052</v>
      </c>
      <c r="AY84">
        <v>0</v>
      </c>
      <c r="AZ84">
        <v>0</v>
      </c>
      <c r="BA84">
        <v>10962</v>
      </c>
      <c r="BB84">
        <v>0</v>
      </c>
      <c r="BC84">
        <v>0</v>
      </c>
      <c r="BD84">
        <v>0</v>
      </c>
      <c r="BE84">
        <v>116763</v>
      </c>
      <c r="BF84">
        <v>81</v>
      </c>
      <c r="BG84">
        <v>27615</v>
      </c>
      <c r="BH84">
        <v>1168</v>
      </c>
      <c r="BI84">
        <v>23.642980000000001</v>
      </c>
      <c r="BJ84">
        <v>26.997710000000001</v>
      </c>
      <c r="BK84">
        <v>26.997710000000001</v>
      </c>
      <c r="BL84">
        <v>26.997710000000001</v>
      </c>
      <c r="BM84">
        <v>443585.7</v>
      </c>
      <c r="BN84">
        <v>4965840</v>
      </c>
      <c r="BO84">
        <v>363.28769999999997</v>
      </c>
      <c r="BP84">
        <v>79.035510000000002</v>
      </c>
      <c r="BQ84">
        <v>0.71850460000000005</v>
      </c>
      <c r="BR84">
        <v>4.5965119999999997</v>
      </c>
      <c r="BS84">
        <v>19106.02</v>
      </c>
      <c r="BT84">
        <v>9573.5020000000004</v>
      </c>
      <c r="BU84">
        <v>2885.165</v>
      </c>
      <c r="BV84" s="1">
        <v>397400000</v>
      </c>
      <c r="BW84" s="1">
        <v>1137000000</v>
      </c>
      <c r="BX84" s="1">
        <v>132000000</v>
      </c>
      <c r="BY84" s="1">
        <v>415100000</v>
      </c>
      <c r="BZ84">
        <v>7446420</v>
      </c>
      <c r="CA84" s="1">
        <v>25200000</v>
      </c>
      <c r="CB84">
        <v>147907</v>
      </c>
      <c r="CC84">
        <v>423118</v>
      </c>
      <c r="CD84">
        <v>93241</v>
      </c>
      <c r="CE84">
        <v>293290</v>
      </c>
      <c r="CF84">
        <v>41369</v>
      </c>
      <c r="CG84">
        <v>139924</v>
      </c>
      <c r="CH84">
        <v>3</v>
      </c>
      <c r="CI84">
        <v>402</v>
      </c>
      <c r="CJ84">
        <v>478480</v>
      </c>
      <c r="CK84">
        <v>4980091</v>
      </c>
      <c r="CL84">
        <v>816</v>
      </c>
      <c r="CM84">
        <v>492625</v>
      </c>
      <c r="CN84">
        <v>4977029</v>
      </c>
      <c r="CO84">
        <v>37692.42</v>
      </c>
      <c r="CP84">
        <v>50299.69</v>
      </c>
      <c r="CQ84">
        <v>37.692419999999998</v>
      </c>
      <c r="CR84">
        <v>50.299689999999998</v>
      </c>
      <c r="CS84">
        <f t="shared" si="3"/>
        <v>862.15068493150682</v>
      </c>
    </row>
    <row r="85" spans="1:97">
      <c r="A85" t="s">
        <v>65</v>
      </c>
      <c r="B85" t="s">
        <v>163</v>
      </c>
      <c r="C85" t="s">
        <v>65</v>
      </c>
      <c r="D85">
        <v>43128</v>
      </c>
      <c r="E85">
        <v>441</v>
      </c>
      <c r="F85">
        <v>225.602</v>
      </c>
      <c r="G85">
        <v>10583</v>
      </c>
      <c r="H85">
        <v>108.1992</v>
      </c>
      <c r="I85">
        <v>72404</v>
      </c>
      <c r="J85">
        <v>0.88</v>
      </c>
      <c r="K85">
        <v>2390</v>
      </c>
      <c r="L85">
        <v>1910</v>
      </c>
      <c r="M85">
        <v>2236</v>
      </c>
      <c r="N85">
        <v>1756</v>
      </c>
      <c r="O85">
        <v>4472</v>
      </c>
      <c r="P85">
        <v>1756</v>
      </c>
      <c r="Q85">
        <v>481</v>
      </c>
      <c r="R85">
        <v>0.13715430000000001</v>
      </c>
      <c r="S85">
        <v>1.2733490000000001</v>
      </c>
      <c r="T85">
        <v>0.42493350000000002</v>
      </c>
      <c r="U85">
        <v>0.19595019999999999</v>
      </c>
      <c r="V85">
        <v>0.20272409999999999</v>
      </c>
      <c r="W85">
        <v>0.79727590000000004</v>
      </c>
      <c r="X85">
        <v>7.2599999999999997E-4</v>
      </c>
      <c r="Y85" s="2">
        <f t="shared" si="2"/>
        <v>0.72599999999999998</v>
      </c>
      <c r="Z85">
        <v>93116561</v>
      </c>
      <c r="AA85">
        <v>73016192</v>
      </c>
      <c r="AB85">
        <v>12500</v>
      </c>
      <c r="AC85">
        <v>1.28</v>
      </c>
      <c r="AD85">
        <v>0.21</v>
      </c>
      <c r="AE85">
        <v>0.28999999999999998</v>
      </c>
      <c r="AF85">
        <v>2.2400000000000002</v>
      </c>
      <c r="AG85">
        <v>9796.99</v>
      </c>
      <c r="AH85">
        <v>428347.7</v>
      </c>
      <c r="AI85">
        <v>9797</v>
      </c>
      <c r="AJ85">
        <v>438145</v>
      </c>
      <c r="AK85">
        <v>98</v>
      </c>
      <c r="AL85">
        <v>4</v>
      </c>
      <c r="AM85">
        <v>14</v>
      </c>
      <c r="AN85">
        <v>0</v>
      </c>
      <c r="AO85">
        <v>0</v>
      </c>
      <c r="AP85">
        <v>2180</v>
      </c>
      <c r="AQ85">
        <v>0</v>
      </c>
      <c r="AR85">
        <v>15</v>
      </c>
      <c r="AS85">
        <v>27</v>
      </c>
      <c r="AT85">
        <v>0</v>
      </c>
      <c r="AU85">
        <v>9797</v>
      </c>
      <c r="AV85">
        <v>0</v>
      </c>
      <c r="AW85">
        <v>0</v>
      </c>
      <c r="AX85">
        <v>421366</v>
      </c>
      <c r="AY85">
        <v>0</v>
      </c>
      <c r="AZ85">
        <v>4124</v>
      </c>
      <c r="BA85">
        <v>2857</v>
      </c>
      <c r="BB85">
        <v>0</v>
      </c>
      <c r="BC85">
        <v>971604</v>
      </c>
      <c r="BD85">
        <v>204</v>
      </c>
      <c r="BE85">
        <v>912938</v>
      </c>
      <c r="BF85">
        <v>34</v>
      </c>
      <c r="BG85">
        <v>543720</v>
      </c>
      <c r="BH85">
        <v>22109</v>
      </c>
      <c r="BI85">
        <v>24.592700000000001</v>
      </c>
      <c r="BJ85">
        <v>25.652889999999999</v>
      </c>
      <c r="BK85">
        <v>25.652889999999999</v>
      </c>
      <c r="BL85">
        <v>25.652889999999999</v>
      </c>
      <c r="BM85">
        <v>480008.4</v>
      </c>
      <c r="BN85">
        <v>4947197</v>
      </c>
      <c r="BO85">
        <v>866.06389999999999</v>
      </c>
      <c r="BP85">
        <v>97.810310000000001</v>
      </c>
      <c r="BQ85">
        <v>0.17099700000000001</v>
      </c>
      <c r="BR85">
        <v>8.8545269999999991</v>
      </c>
      <c r="BS85">
        <v>362927.2</v>
      </c>
      <c r="BT85">
        <v>186049.8</v>
      </c>
      <c r="BU85">
        <v>89057.19</v>
      </c>
      <c r="BV85" s="1">
        <v>21200000000</v>
      </c>
      <c r="BW85" s="1">
        <v>61650000000</v>
      </c>
      <c r="BX85" s="1">
        <v>7052000000</v>
      </c>
      <c r="BY85" s="1">
        <v>19700000000</v>
      </c>
      <c r="BZ85" s="1">
        <v>2057000000</v>
      </c>
      <c r="CA85" s="1">
        <v>9590000000</v>
      </c>
      <c r="CB85">
        <v>490572</v>
      </c>
      <c r="CC85">
        <v>1426586</v>
      </c>
      <c r="CD85">
        <v>305982</v>
      </c>
      <c r="CE85">
        <v>854989</v>
      </c>
      <c r="CF85">
        <v>187579</v>
      </c>
      <c r="CG85">
        <v>874217</v>
      </c>
      <c r="CH85">
        <v>3</v>
      </c>
      <c r="CI85">
        <v>402</v>
      </c>
      <c r="CJ85">
        <v>478480</v>
      </c>
      <c r="CK85">
        <v>4980091</v>
      </c>
      <c r="CL85">
        <v>816</v>
      </c>
      <c r="CM85">
        <v>492625</v>
      </c>
      <c r="CN85">
        <v>4977029</v>
      </c>
      <c r="CO85">
        <v>32929.99</v>
      </c>
      <c r="CP85">
        <v>32390.67</v>
      </c>
      <c r="CQ85">
        <v>32.929989999999997</v>
      </c>
      <c r="CR85">
        <v>32.39067</v>
      </c>
      <c r="CS85">
        <f t="shared" si="3"/>
        <v>835.05239179954447</v>
      </c>
    </row>
    <row r="86" spans="1:97">
      <c r="A86" t="s">
        <v>66</v>
      </c>
      <c r="B86" t="s">
        <v>158</v>
      </c>
      <c r="C86" t="s">
        <v>66</v>
      </c>
      <c r="D86">
        <v>700</v>
      </c>
      <c r="E86">
        <v>3276</v>
      </c>
      <c r="G86">
        <v>77</v>
      </c>
      <c r="H86">
        <v>360.33699999999999</v>
      </c>
      <c r="I86">
        <v>31136</v>
      </c>
      <c r="J86">
        <v>0.78</v>
      </c>
      <c r="K86">
        <v>62</v>
      </c>
      <c r="L86">
        <v>48</v>
      </c>
      <c r="M86">
        <v>53</v>
      </c>
      <c r="N86">
        <v>39</v>
      </c>
      <c r="O86">
        <v>106</v>
      </c>
      <c r="P86">
        <v>39</v>
      </c>
      <c r="Q86">
        <v>15</v>
      </c>
      <c r="R86">
        <v>0.20547950000000001</v>
      </c>
      <c r="S86">
        <v>1.3589739999999999</v>
      </c>
      <c r="T86">
        <v>0.4774775</v>
      </c>
      <c r="U86">
        <v>0.101103</v>
      </c>
      <c r="V86">
        <v>0.31564160000000002</v>
      </c>
      <c r="W86">
        <v>0.68435849999999998</v>
      </c>
      <c r="X86">
        <v>3.5762000000000002E-2</v>
      </c>
      <c r="Y86" s="2">
        <f t="shared" si="2"/>
        <v>35.762</v>
      </c>
      <c r="Z86">
        <v>3773293</v>
      </c>
      <c r="AA86">
        <v>3014013</v>
      </c>
      <c r="AB86">
        <v>9570</v>
      </c>
      <c r="AC86">
        <v>1.25</v>
      </c>
      <c r="AD86">
        <v>0.14000000000000001</v>
      </c>
      <c r="AE86">
        <v>0.6</v>
      </c>
      <c r="AF86">
        <v>14.73</v>
      </c>
      <c r="AG86">
        <v>789.17</v>
      </c>
      <c r="AH86">
        <v>4569.28</v>
      </c>
      <c r="AI86">
        <v>789</v>
      </c>
      <c r="AJ86">
        <v>5358</v>
      </c>
      <c r="AK86">
        <v>0</v>
      </c>
      <c r="AL86">
        <v>25</v>
      </c>
      <c r="AM86">
        <v>1</v>
      </c>
      <c r="AN86">
        <v>0</v>
      </c>
      <c r="AO86">
        <v>0</v>
      </c>
      <c r="AP86">
        <v>52</v>
      </c>
      <c r="AQ86">
        <v>0</v>
      </c>
      <c r="AR86">
        <v>0</v>
      </c>
      <c r="AS86">
        <v>0</v>
      </c>
      <c r="AT86">
        <v>0</v>
      </c>
      <c r="AU86">
        <v>789</v>
      </c>
      <c r="AV86">
        <v>0</v>
      </c>
      <c r="AW86">
        <v>0</v>
      </c>
      <c r="AX86">
        <v>4569</v>
      </c>
      <c r="AY86">
        <v>0</v>
      </c>
      <c r="AZ86">
        <v>0</v>
      </c>
      <c r="BA86">
        <v>0</v>
      </c>
      <c r="BB86">
        <v>0</v>
      </c>
      <c r="BC86">
        <v>1666</v>
      </c>
      <c r="BD86">
        <v>3</v>
      </c>
      <c r="BE86">
        <v>1262</v>
      </c>
      <c r="BF86">
        <v>3</v>
      </c>
      <c r="BG86">
        <v>7855</v>
      </c>
      <c r="BH86">
        <v>318</v>
      </c>
      <c r="BI86">
        <v>24.701260000000001</v>
      </c>
      <c r="BJ86">
        <v>24.97662</v>
      </c>
      <c r="BK86">
        <v>24.97662</v>
      </c>
      <c r="BL86">
        <v>24.97662</v>
      </c>
      <c r="BM86">
        <v>501804.9</v>
      </c>
      <c r="BN86">
        <v>4977450</v>
      </c>
      <c r="BO86">
        <v>11.16</v>
      </c>
      <c r="BP86">
        <v>0.21368889999999999</v>
      </c>
      <c r="BQ86">
        <v>8.9037000000000005E-3</v>
      </c>
      <c r="BR86">
        <v>52.225479999999997</v>
      </c>
      <c r="BS86">
        <v>2652287</v>
      </c>
      <c r="BT86">
        <v>1204896</v>
      </c>
      <c r="BU86">
        <v>291751.59999999998</v>
      </c>
      <c r="CH86">
        <v>1</v>
      </c>
      <c r="CI86">
        <v>402</v>
      </c>
      <c r="CJ86">
        <v>478480</v>
      </c>
      <c r="CK86">
        <v>4980091</v>
      </c>
      <c r="CL86">
        <v>816</v>
      </c>
      <c r="CM86">
        <v>492625</v>
      </c>
      <c r="CN86">
        <v>4977029</v>
      </c>
      <c r="CO86">
        <v>23474.03</v>
      </c>
      <c r="CP86">
        <v>9189.5630000000001</v>
      </c>
      <c r="CQ86">
        <v>23.474029999999999</v>
      </c>
      <c r="CR86">
        <v>9.1895640000000007</v>
      </c>
      <c r="CS86">
        <f t="shared" si="3"/>
        <v>53.846153846153847</v>
      </c>
    </row>
    <row r="87" spans="1:97">
      <c r="A87" t="s">
        <v>67</v>
      </c>
      <c r="B87" t="s">
        <v>165</v>
      </c>
      <c r="C87" t="s">
        <v>67</v>
      </c>
      <c r="D87">
        <v>2364</v>
      </c>
      <c r="E87">
        <v>2169</v>
      </c>
      <c r="F87">
        <v>1465</v>
      </c>
      <c r="G87">
        <v>357</v>
      </c>
      <c r="H87">
        <v>327.5804</v>
      </c>
      <c r="I87">
        <v>39063</v>
      </c>
      <c r="J87">
        <v>0.77</v>
      </c>
      <c r="K87">
        <v>104</v>
      </c>
      <c r="L87">
        <v>70</v>
      </c>
      <c r="M87">
        <v>94</v>
      </c>
      <c r="N87">
        <v>60</v>
      </c>
      <c r="O87">
        <v>188</v>
      </c>
      <c r="P87">
        <v>60</v>
      </c>
      <c r="Q87">
        <v>35</v>
      </c>
      <c r="R87">
        <v>0.3043478</v>
      </c>
      <c r="S87">
        <v>1.566667</v>
      </c>
      <c r="T87">
        <v>0.54022990000000004</v>
      </c>
      <c r="U87">
        <v>0.14499229999999999</v>
      </c>
      <c r="V87">
        <v>0.1076273</v>
      </c>
      <c r="W87">
        <v>0.89237270000000002</v>
      </c>
      <c r="X87">
        <v>2.6554000000000001E-2</v>
      </c>
      <c r="Y87" s="2">
        <f t="shared" si="2"/>
        <v>26.554000000000002</v>
      </c>
      <c r="Z87">
        <v>7996691</v>
      </c>
      <c r="AA87">
        <v>6371703</v>
      </c>
      <c r="AB87">
        <v>11373</v>
      </c>
      <c r="AC87">
        <v>1.26</v>
      </c>
      <c r="AD87">
        <v>0.55000000000000004</v>
      </c>
      <c r="AE87">
        <v>0.38</v>
      </c>
      <c r="AF87">
        <v>0</v>
      </c>
      <c r="AG87">
        <v>0</v>
      </c>
      <c r="AH87">
        <v>13629.27</v>
      </c>
      <c r="AI87">
        <v>0</v>
      </c>
      <c r="AJ87">
        <v>13629</v>
      </c>
      <c r="AK87">
        <v>1</v>
      </c>
      <c r="AL87">
        <v>13</v>
      </c>
      <c r="AM87">
        <v>0</v>
      </c>
      <c r="AN87">
        <v>0</v>
      </c>
      <c r="AO87">
        <v>0</v>
      </c>
      <c r="AP87">
        <v>82</v>
      </c>
      <c r="AQ87">
        <v>0</v>
      </c>
      <c r="AR87">
        <v>12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12617</v>
      </c>
      <c r="AY87">
        <v>0</v>
      </c>
      <c r="AZ87">
        <v>1013</v>
      </c>
      <c r="BA87">
        <v>0</v>
      </c>
      <c r="BB87">
        <v>0</v>
      </c>
      <c r="BC87">
        <v>54740</v>
      </c>
      <c r="BD87">
        <v>7</v>
      </c>
      <c r="BE87">
        <v>54439</v>
      </c>
      <c r="BF87">
        <v>37</v>
      </c>
      <c r="BG87">
        <v>27120</v>
      </c>
      <c r="BH87">
        <v>1465</v>
      </c>
      <c r="BI87">
        <v>18.511949999999999</v>
      </c>
      <c r="BJ87">
        <v>29.102689999999999</v>
      </c>
      <c r="BK87">
        <v>29.102689999999999</v>
      </c>
      <c r="BL87">
        <v>29.102689999999999</v>
      </c>
      <c r="BM87">
        <v>484029.8</v>
      </c>
      <c r="BN87">
        <v>4982326</v>
      </c>
      <c r="BO87">
        <v>35.409140000000001</v>
      </c>
      <c r="BP87">
        <v>1.089809</v>
      </c>
      <c r="BQ87">
        <v>1.9814700000000001E-2</v>
      </c>
      <c r="BR87">
        <v>32.491149999999998</v>
      </c>
      <c r="BS87">
        <v>2372692</v>
      </c>
      <c r="BT87">
        <v>1470386</v>
      </c>
      <c r="BU87">
        <v>358312.6</v>
      </c>
      <c r="CH87">
        <v>1</v>
      </c>
      <c r="CI87">
        <v>402</v>
      </c>
      <c r="CJ87">
        <v>478480</v>
      </c>
      <c r="CK87">
        <v>4980091</v>
      </c>
      <c r="CL87">
        <v>816</v>
      </c>
      <c r="CM87">
        <v>492625</v>
      </c>
      <c r="CN87">
        <v>4977029</v>
      </c>
      <c r="CO87">
        <v>5982.701</v>
      </c>
      <c r="CP87">
        <v>10096.1</v>
      </c>
      <c r="CQ87">
        <v>5.9827009999999996</v>
      </c>
      <c r="CR87">
        <v>10.0961</v>
      </c>
      <c r="CS87">
        <f t="shared" si="3"/>
        <v>1457.8</v>
      </c>
    </row>
    <row r="88" spans="1:97">
      <c r="A88" t="s">
        <v>261</v>
      </c>
      <c r="B88" t="s">
        <v>160</v>
      </c>
      <c r="C88" t="s">
        <v>261</v>
      </c>
      <c r="D88">
        <v>2214</v>
      </c>
      <c r="E88">
        <v>1243</v>
      </c>
      <c r="F88">
        <v>598</v>
      </c>
      <c r="G88">
        <v>637</v>
      </c>
      <c r="H88">
        <v>357.60770000000002</v>
      </c>
      <c r="I88">
        <v>41618</v>
      </c>
      <c r="J88">
        <v>0.86</v>
      </c>
      <c r="K88">
        <v>143</v>
      </c>
      <c r="L88">
        <v>111</v>
      </c>
      <c r="M88">
        <v>106</v>
      </c>
      <c r="N88">
        <v>74</v>
      </c>
      <c r="O88">
        <v>212</v>
      </c>
      <c r="P88">
        <v>74</v>
      </c>
      <c r="Q88">
        <v>33</v>
      </c>
      <c r="R88">
        <v>0.23076920000000001</v>
      </c>
      <c r="S88">
        <v>1.4324319999999999</v>
      </c>
      <c r="T88">
        <v>0.49074069999999997</v>
      </c>
      <c r="U88">
        <v>0.21458199999999999</v>
      </c>
      <c r="V88">
        <v>7.3207900000000006E-2</v>
      </c>
      <c r="W88">
        <v>0.92679210000000001</v>
      </c>
      <c r="X88">
        <v>1.9622000000000001E-2</v>
      </c>
      <c r="Y88" s="2">
        <f t="shared" si="2"/>
        <v>19.622</v>
      </c>
      <c r="Z88">
        <v>13334176</v>
      </c>
      <c r="AA88">
        <v>9836882</v>
      </c>
      <c r="AB88">
        <v>12350</v>
      </c>
      <c r="AC88">
        <v>1.36</v>
      </c>
      <c r="AD88">
        <v>0.36</v>
      </c>
      <c r="AE88">
        <v>0.28999999999999998</v>
      </c>
      <c r="AF88">
        <v>0</v>
      </c>
      <c r="AG88">
        <v>0</v>
      </c>
      <c r="AH88">
        <v>22745.69</v>
      </c>
      <c r="AI88">
        <v>0</v>
      </c>
      <c r="AJ88">
        <v>22746</v>
      </c>
      <c r="AK88">
        <v>2</v>
      </c>
      <c r="AL88">
        <v>13</v>
      </c>
      <c r="AM88">
        <v>0</v>
      </c>
      <c r="AN88">
        <v>0</v>
      </c>
      <c r="AO88">
        <v>0</v>
      </c>
      <c r="AP88">
        <v>98</v>
      </c>
      <c r="AQ88">
        <v>0</v>
      </c>
      <c r="AR88">
        <v>0</v>
      </c>
      <c r="AS88">
        <v>7</v>
      </c>
      <c r="AT88">
        <v>1</v>
      </c>
      <c r="AU88">
        <v>0</v>
      </c>
      <c r="AV88">
        <v>0</v>
      </c>
      <c r="AW88">
        <v>0</v>
      </c>
      <c r="AX88">
        <v>21708</v>
      </c>
      <c r="AY88">
        <v>0</v>
      </c>
      <c r="AZ88">
        <v>0</v>
      </c>
      <c r="BA88">
        <v>921</v>
      </c>
      <c r="BB88">
        <v>116</v>
      </c>
      <c r="BC88">
        <v>22117</v>
      </c>
      <c r="BD88">
        <v>10</v>
      </c>
      <c r="BE88">
        <v>22106</v>
      </c>
      <c r="BF88">
        <v>16</v>
      </c>
      <c r="BG88">
        <v>26195</v>
      </c>
      <c r="BH88">
        <v>1196</v>
      </c>
      <c r="BI88">
        <v>21.902170000000002</v>
      </c>
      <c r="BJ88">
        <v>27.086569999999998</v>
      </c>
      <c r="BK88">
        <v>27.086569999999998</v>
      </c>
      <c r="BL88">
        <v>27.086569999999998</v>
      </c>
      <c r="BM88">
        <v>486530.6</v>
      </c>
      <c r="BN88">
        <v>4998312</v>
      </c>
      <c r="BO88">
        <v>47.299840000000003</v>
      </c>
      <c r="BP88">
        <v>1.781282</v>
      </c>
      <c r="BQ88">
        <v>2.9687999999999999E-2</v>
      </c>
      <c r="BR88">
        <v>26.553830000000001</v>
      </c>
      <c r="BS88">
        <v>1009539</v>
      </c>
      <c r="BT88">
        <v>545351.80000000005</v>
      </c>
      <c r="BU88">
        <v>290459.09999999998</v>
      </c>
      <c r="BV88" s="1">
        <v>4441000000</v>
      </c>
      <c r="BW88" s="1">
        <v>9725000000</v>
      </c>
      <c r="BX88" s="1">
        <v>1682000000</v>
      </c>
      <c r="BY88" s="1">
        <v>3184000000</v>
      </c>
      <c r="BZ88" s="1">
        <v>213300000</v>
      </c>
      <c r="CA88" s="1">
        <v>449000000</v>
      </c>
      <c r="CB88">
        <v>910488</v>
      </c>
      <c r="CC88">
        <v>1993716</v>
      </c>
      <c r="CD88">
        <v>600367</v>
      </c>
      <c r="CE88">
        <v>1136376</v>
      </c>
      <c r="CF88">
        <v>625372</v>
      </c>
      <c r="CG88">
        <v>1316847</v>
      </c>
      <c r="CH88">
        <v>3</v>
      </c>
      <c r="CI88">
        <v>402</v>
      </c>
      <c r="CJ88">
        <v>478480</v>
      </c>
      <c r="CK88">
        <v>4980091</v>
      </c>
      <c r="CL88">
        <v>816</v>
      </c>
      <c r="CM88">
        <v>492625</v>
      </c>
      <c r="CN88">
        <v>4977029</v>
      </c>
      <c r="CO88">
        <v>19919.810000000001</v>
      </c>
      <c r="CP88">
        <v>22137.9</v>
      </c>
      <c r="CQ88">
        <v>19.919809999999998</v>
      </c>
      <c r="CR88">
        <v>22.137899999999998</v>
      </c>
      <c r="CS88">
        <f t="shared" si="3"/>
        <v>478.70270270270271</v>
      </c>
    </row>
    <row r="89" spans="1:97">
      <c r="A89" t="s">
        <v>262</v>
      </c>
      <c r="B89" t="s">
        <v>160</v>
      </c>
      <c r="C89" t="s">
        <v>262</v>
      </c>
      <c r="D89">
        <v>16791</v>
      </c>
      <c r="E89">
        <v>196</v>
      </c>
      <c r="F89">
        <v>91.534880000000001</v>
      </c>
      <c r="G89">
        <v>2641</v>
      </c>
      <c r="H89">
        <v>30.75309</v>
      </c>
      <c r="I89">
        <v>75708</v>
      </c>
      <c r="J89">
        <v>0.91</v>
      </c>
      <c r="K89">
        <v>990</v>
      </c>
      <c r="L89">
        <v>838</v>
      </c>
      <c r="M89">
        <v>813</v>
      </c>
      <c r="N89">
        <v>661</v>
      </c>
      <c r="O89">
        <v>1626</v>
      </c>
      <c r="P89">
        <v>661</v>
      </c>
      <c r="Q89">
        <v>153</v>
      </c>
      <c r="R89">
        <v>0.1161731</v>
      </c>
      <c r="S89">
        <v>1.2299549999999999</v>
      </c>
      <c r="T89">
        <v>0.41122910000000001</v>
      </c>
      <c r="U89">
        <v>0.30730679999999999</v>
      </c>
      <c r="V89">
        <v>0.30646669999999998</v>
      </c>
      <c r="W89">
        <v>0.69353330000000002</v>
      </c>
      <c r="X89">
        <v>1.864E-3</v>
      </c>
      <c r="Y89" s="2">
        <f t="shared" si="2"/>
        <v>1.8639999999999999</v>
      </c>
      <c r="Z89">
        <v>108649521</v>
      </c>
      <c r="AA89">
        <v>57044083</v>
      </c>
      <c r="AB89">
        <v>10953</v>
      </c>
      <c r="AC89">
        <v>1.9</v>
      </c>
      <c r="AD89">
        <v>0.19</v>
      </c>
      <c r="AE89">
        <v>0.47</v>
      </c>
      <c r="AF89">
        <v>7.96</v>
      </c>
      <c r="AG89">
        <v>19887.919999999998</v>
      </c>
      <c r="AH89">
        <v>229952.5</v>
      </c>
      <c r="AI89">
        <v>19888</v>
      </c>
      <c r="AJ89">
        <v>249840</v>
      </c>
      <c r="AK89">
        <v>86</v>
      </c>
      <c r="AL89">
        <v>3</v>
      </c>
      <c r="AM89">
        <v>12</v>
      </c>
      <c r="AN89">
        <v>0</v>
      </c>
      <c r="AO89">
        <v>0</v>
      </c>
      <c r="AP89">
        <v>794</v>
      </c>
      <c r="AQ89">
        <v>0</v>
      </c>
      <c r="AR89">
        <v>6</v>
      </c>
      <c r="AS89">
        <v>1</v>
      </c>
      <c r="AT89">
        <v>0</v>
      </c>
      <c r="AU89">
        <v>19888</v>
      </c>
      <c r="AV89">
        <v>0</v>
      </c>
      <c r="AW89">
        <v>0</v>
      </c>
      <c r="AX89">
        <v>228016</v>
      </c>
      <c r="AY89">
        <v>0</v>
      </c>
      <c r="AZ89">
        <v>1754</v>
      </c>
      <c r="BA89">
        <v>183</v>
      </c>
      <c r="BB89">
        <v>0</v>
      </c>
      <c r="BC89">
        <v>723347</v>
      </c>
      <c r="BD89">
        <v>123</v>
      </c>
      <c r="BE89">
        <v>723803</v>
      </c>
      <c r="BF89">
        <v>69</v>
      </c>
      <c r="BG89">
        <v>209970</v>
      </c>
      <c r="BH89">
        <v>7872</v>
      </c>
      <c r="BI89">
        <v>26.673020000000001</v>
      </c>
      <c r="BJ89">
        <v>27.96743</v>
      </c>
      <c r="BK89">
        <v>27.96743</v>
      </c>
      <c r="BL89">
        <v>27.96743</v>
      </c>
      <c r="BM89">
        <v>493476.5</v>
      </c>
      <c r="BN89">
        <v>5001598</v>
      </c>
      <c r="BO89">
        <v>608.63059999999996</v>
      </c>
      <c r="BP89">
        <v>85.877539999999996</v>
      </c>
      <c r="BQ89">
        <v>0.34488970000000002</v>
      </c>
      <c r="BR89">
        <v>7.0871909999999998</v>
      </c>
      <c r="BS89">
        <v>85754.2</v>
      </c>
      <c r="BT89">
        <v>40203.5</v>
      </c>
      <c r="BU89">
        <v>13487.99</v>
      </c>
      <c r="BV89" s="1">
        <v>8883000000</v>
      </c>
      <c r="BW89" s="1">
        <v>30920000000</v>
      </c>
      <c r="BX89" s="1">
        <v>2606000000</v>
      </c>
      <c r="BY89" s="1">
        <v>8840000000</v>
      </c>
      <c r="BZ89" s="1">
        <v>673200000</v>
      </c>
      <c r="CA89" s="1">
        <v>2860000000</v>
      </c>
      <c r="CB89">
        <v>444310</v>
      </c>
      <c r="CC89">
        <v>1546783</v>
      </c>
      <c r="CD89">
        <v>260965</v>
      </c>
      <c r="CE89">
        <v>885124</v>
      </c>
      <c r="CF89">
        <v>221901</v>
      </c>
      <c r="CG89">
        <v>941263</v>
      </c>
      <c r="CH89">
        <v>3</v>
      </c>
      <c r="CI89">
        <v>402</v>
      </c>
      <c r="CJ89">
        <v>478480</v>
      </c>
      <c r="CK89">
        <v>4980091</v>
      </c>
      <c r="CL89">
        <v>816</v>
      </c>
      <c r="CM89">
        <v>492625</v>
      </c>
      <c r="CN89">
        <v>4977029</v>
      </c>
      <c r="CO89">
        <v>26219.21</v>
      </c>
      <c r="CP89">
        <v>24583.75</v>
      </c>
      <c r="CQ89">
        <v>26.21921</v>
      </c>
      <c r="CR89">
        <v>24.583749999999998</v>
      </c>
      <c r="CS89">
        <f t="shared" si="3"/>
        <v>1752.7670196671709</v>
      </c>
    </row>
    <row r="90" spans="1:97">
      <c r="A90" t="s">
        <v>263</v>
      </c>
      <c r="B90" t="s">
        <v>160</v>
      </c>
      <c r="C90" t="s">
        <v>263</v>
      </c>
      <c r="D90">
        <v>4668</v>
      </c>
      <c r="E90">
        <v>50</v>
      </c>
      <c r="F90">
        <v>25.752690000000001</v>
      </c>
      <c r="G90">
        <v>157</v>
      </c>
      <c r="H90">
        <v>1.6809350000000001</v>
      </c>
      <c r="I90">
        <v>58596</v>
      </c>
      <c r="J90">
        <v>0.88</v>
      </c>
      <c r="K90">
        <v>436</v>
      </c>
      <c r="L90">
        <v>373</v>
      </c>
      <c r="M90">
        <v>354</v>
      </c>
      <c r="N90">
        <v>291</v>
      </c>
      <c r="O90">
        <v>708</v>
      </c>
      <c r="P90">
        <v>291</v>
      </c>
      <c r="Q90">
        <v>64</v>
      </c>
      <c r="R90">
        <v>0.1109185</v>
      </c>
      <c r="S90">
        <v>1.2164950000000001</v>
      </c>
      <c r="T90">
        <v>0.40830450000000001</v>
      </c>
      <c r="U90">
        <v>0.41643390000000002</v>
      </c>
      <c r="V90">
        <v>0.39361950000000001</v>
      </c>
      <c r="W90">
        <v>0.60638049999999999</v>
      </c>
      <c r="X90">
        <v>4.1949999999999999E-3</v>
      </c>
      <c r="Y90" s="2">
        <f t="shared" si="2"/>
        <v>4.1950000000000003</v>
      </c>
      <c r="Z90">
        <v>116963019</v>
      </c>
      <c r="AA90">
        <v>65577936</v>
      </c>
      <c r="AB90">
        <v>12500</v>
      </c>
      <c r="AC90">
        <v>1.78</v>
      </c>
      <c r="AD90">
        <v>0</v>
      </c>
      <c r="AE90">
        <v>0</v>
      </c>
      <c r="AF90">
        <v>0</v>
      </c>
      <c r="AG90">
        <v>0</v>
      </c>
      <c r="AH90">
        <v>147417.60000000001</v>
      </c>
      <c r="AI90">
        <v>0</v>
      </c>
      <c r="AJ90">
        <v>147418</v>
      </c>
      <c r="AK90">
        <v>93</v>
      </c>
      <c r="AL90">
        <v>2</v>
      </c>
      <c r="AM90">
        <v>0</v>
      </c>
      <c r="AN90">
        <v>0</v>
      </c>
      <c r="AO90">
        <v>0</v>
      </c>
      <c r="AP90">
        <v>354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147418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73853</v>
      </c>
      <c r="BF90">
        <v>25</v>
      </c>
      <c r="BG90">
        <v>78815</v>
      </c>
      <c r="BH90">
        <v>2395</v>
      </c>
      <c r="BI90">
        <v>32.908140000000003</v>
      </c>
      <c r="BJ90">
        <v>26.608370000000001</v>
      </c>
      <c r="BK90">
        <v>26.608370000000001</v>
      </c>
      <c r="BL90">
        <v>26.608370000000001</v>
      </c>
      <c r="BM90">
        <v>493633</v>
      </c>
      <c r="BN90">
        <v>5024006</v>
      </c>
      <c r="BO90">
        <v>376.9547</v>
      </c>
      <c r="BP90">
        <v>93.400400000000005</v>
      </c>
      <c r="BQ90">
        <v>0.71298019999999995</v>
      </c>
      <c r="BR90">
        <v>4.0358999999999998</v>
      </c>
      <c r="BS90">
        <v>22626.87</v>
      </c>
      <c r="BT90">
        <v>11609.12</v>
      </c>
      <c r="BU90">
        <v>761.01520000000005</v>
      </c>
      <c r="BV90" s="1">
        <v>136400000</v>
      </c>
      <c r="BW90" s="1">
        <v>898700000</v>
      </c>
      <c r="BX90">
        <v>47030697</v>
      </c>
      <c r="BY90" s="1">
        <v>294700000</v>
      </c>
      <c r="BZ90">
        <v>541310</v>
      </c>
      <c r="CA90">
        <v>7390306</v>
      </c>
      <c r="CB90">
        <v>29213</v>
      </c>
      <c r="CC90">
        <v>192531</v>
      </c>
      <c r="CD90">
        <v>19048</v>
      </c>
      <c r="CE90">
        <v>119377</v>
      </c>
      <c r="CF90">
        <v>3515</v>
      </c>
      <c r="CG90">
        <v>47989</v>
      </c>
      <c r="CH90">
        <v>3</v>
      </c>
      <c r="CI90">
        <v>402</v>
      </c>
      <c r="CJ90">
        <v>478480</v>
      </c>
      <c r="CK90">
        <v>4980091</v>
      </c>
      <c r="CL90">
        <v>816</v>
      </c>
      <c r="CM90">
        <v>492625</v>
      </c>
      <c r="CN90">
        <v>4977029</v>
      </c>
      <c r="CO90">
        <v>46455.33</v>
      </c>
      <c r="CP90">
        <v>46987.31</v>
      </c>
      <c r="CQ90">
        <v>46.455329999999996</v>
      </c>
      <c r="CR90">
        <v>46.987310000000001</v>
      </c>
      <c r="CS90">
        <f t="shared" si="3"/>
        <v>401.03092783505156</v>
      </c>
    </row>
    <row r="91" spans="1:97">
      <c r="A91" t="s">
        <v>264</v>
      </c>
      <c r="B91" t="s">
        <v>165</v>
      </c>
      <c r="C91" t="s">
        <v>264</v>
      </c>
      <c r="D91">
        <v>9771</v>
      </c>
      <c r="E91">
        <v>841</v>
      </c>
      <c r="F91">
        <v>449.33330000000001</v>
      </c>
      <c r="G91">
        <v>5864</v>
      </c>
      <c r="H91">
        <v>504.99090000000001</v>
      </c>
      <c r="I91">
        <v>46609</v>
      </c>
      <c r="J91">
        <v>0.9</v>
      </c>
      <c r="K91">
        <v>414</v>
      </c>
      <c r="L91">
        <v>338</v>
      </c>
      <c r="M91">
        <v>334</v>
      </c>
      <c r="N91">
        <v>258</v>
      </c>
      <c r="O91">
        <v>668</v>
      </c>
      <c r="P91">
        <v>258</v>
      </c>
      <c r="Q91">
        <v>77</v>
      </c>
      <c r="R91">
        <v>0.15068490000000001</v>
      </c>
      <c r="S91">
        <v>1.2945739999999999</v>
      </c>
      <c r="T91">
        <v>0.4348958</v>
      </c>
      <c r="U91">
        <v>0.25391239999999998</v>
      </c>
      <c r="V91">
        <v>0.19648070000000001</v>
      </c>
      <c r="W91">
        <v>0.80351930000000005</v>
      </c>
      <c r="X91">
        <v>5.0369999999999998E-3</v>
      </c>
      <c r="Y91" s="2">
        <f t="shared" si="2"/>
        <v>5.0369999999999999</v>
      </c>
      <c r="Z91">
        <v>32818467</v>
      </c>
      <c r="AA91">
        <v>21288958</v>
      </c>
      <c r="AB91">
        <v>11811</v>
      </c>
      <c r="AC91">
        <v>1.54</v>
      </c>
      <c r="AD91">
        <v>1.04</v>
      </c>
      <c r="AE91">
        <v>1.04</v>
      </c>
      <c r="AF91">
        <v>10.18</v>
      </c>
      <c r="AG91">
        <v>11255.48</v>
      </c>
      <c r="AH91">
        <v>73551.25</v>
      </c>
      <c r="AI91">
        <v>8633</v>
      </c>
      <c r="AJ91">
        <v>84807</v>
      </c>
      <c r="AK91">
        <v>12</v>
      </c>
      <c r="AL91">
        <v>7</v>
      </c>
      <c r="AM91">
        <v>30</v>
      </c>
      <c r="AN91">
        <v>0</v>
      </c>
      <c r="AO91">
        <v>10</v>
      </c>
      <c r="AP91">
        <v>271</v>
      </c>
      <c r="AQ91">
        <v>0</v>
      </c>
      <c r="AR91">
        <v>16</v>
      </c>
      <c r="AS91">
        <v>7</v>
      </c>
      <c r="AT91">
        <v>0</v>
      </c>
      <c r="AU91">
        <v>8633</v>
      </c>
      <c r="AV91">
        <v>0</v>
      </c>
      <c r="AW91">
        <v>2622</v>
      </c>
      <c r="AX91">
        <v>67936</v>
      </c>
      <c r="AY91">
        <v>0</v>
      </c>
      <c r="AZ91">
        <v>4937</v>
      </c>
      <c r="BA91">
        <v>678</v>
      </c>
      <c r="BB91">
        <v>0</v>
      </c>
      <c r="BC91">
        <v>678082</v>
      </c>
      <c r="BD91">
        <v>42</v>
      </c>
      <c r="BE91">
        <v>678179</v>
      </c>
      <c r="BF91">
        <v>112</v>
      </c>
      <c r="BG91">
        <v>111325</v>
      </c>
      <c r="BH91">
        <v>5392</v>
      </c>
      <c r="BI91">
        <v>20.646329999999999</v>
      </c>
      <c r="BJ91">
        <v>28.695219999999999</v>
      </c>
      <c r="BK91">
        <v>28.695219999999999</v>
      </c>
      <c r="BL91">
        <v>28.695219999999999</v>
      </c>
      <c r="BM91">
        <v>493201.1</v>
      </c>
      <c r="BN91">
        <v>4985666</v>
      </c>
      <c r="BO91">
        <v>177.7234</v>
      </c>
      <c r="BP91">
        <v>11.61209</v>
      </c>
      <c r="BQ91">
        <v>7.8993800000000003E-2</v>
      </c>
      <c r="BR91">
        <v>15.30503</v>
      </c>
      <c r="BS91">
        <v>593072.5</v>
      </c>
      <c r="BT91">
        <v>327279.40000000002</v>
      </c>
      <c r="BU91">
        <v>355928.5</v>
      </c>
      <c r="BV91" s="1">
        <v>13230000000</v>
      </c>
      <c r="BW91" s="1">
        <v>25610000000</v>
      </c>
      <c r="BX91" s="1">
        <v>4031000000</v>
      </c>
      <c r="BY91" s="1">
        <v>7892000000</v>
      </c>
      <c r="BZ91" s="1">
        <v>5027000000</v>
      </c>
      <c r="CA91" s="1">
        <v>8920000000</v>
      </c>
      <c r="CB91">
        <v>1194190</v>
      </c>
      <c r="CC91">
        <v>2311494</v>
      </c>
      <c r="CD91">
        <v>650212</v>
      </c>
      <c r="CE91">
        <v>1273123</v>
      </c>
      <c r="CF91">
        <v>858844</v>
      </c>
      <c r="CG91">
        <v>1524702</v>
      </c>
      <c r="CH91">
        <v>3</v>
      </c>
      <c r="CI91">
        <v>402</v>
      </c>
      <c r="CJ91">
        <v>478480</v>
      </c>
      <c r="CK91">
        <v>4980091</v>
      </c>
      <c r="CL91">
        <v>816</v>
      </c>
      <c r="CM91">
        <v>492625</v>
      </c>
      <c r="CN91">
        <v>4977029</v>
      </c>
      <c r="CO91">
        <v>15741.24</v>
      </c>
      <c r="CP91">
        <v>8655.6939999999995</v>
      </c>
      <c r="CQ91">
        <v>15.741239999999999</v>
      </c>
      <c r="CR91">
        <v>8.6556940000000004</v>
      </c>
      <c r="CS91">
        <f t="shared" si="3"/>
        <v>4241.6744186046508</v>
      </c>
    </row>
    <row r="92" spans="1:97">
      <c r="A92" t="s">
        <v>265</v>
      </c>
      <c r="B92" t="s">
        <v>182</v>
      </c>
      <c r="C92" t="s">
        <v>265</v>
      </c>
      <c r="D92">
        <v>1842</v>
      </c>
      <c r="E92">
        <v>743</v>
      </c>
      <c r="F92">
        <v>492</v>
      </c>
      <c r="G92">
        <v>2480</v>
      </c>
      <c r="H92">
        <v>1000.922</v>
      </c>
      <c r="I92">
        <v>55139</v>
      </c>
      <c r="J92">
        <v>0.86</v>
      </c>
      <c r="K92">
        <v>142</v>
      </c>
      <c r="L92">
        <v>117</v>
      </c>
      <c r="M92">
        <v>124</v>
      </c>
      <c r="N92">
        <v>99</v>
      </c>
      <c r="O92">
        <v>248</v>
      </c>
      <c r="P92">
        <v>99</v>
      </c>
      <c r="Q92">
        <v>26</v>
      </c>
      <c r="R92">
        <v>0.134715</v>
      </c>
      <c r="S92">
        <v>1.2525250000000001</v>
      </c>
      <c r="T92">
        <v>0.42611680000000002</v>
      </c>
      <c r="U92">
        <v>0.17587539999999999</v>
      </c>
      <c r="V92">
        <v>0.33307340000000002</v>
      </c>
      <c r="W92">
        <v>0.66692660000000004</v>
      </c>
      <c r="X92">
        <v>1.2781000000000001E-2</v>
      </c>
      <c r="Y92" s="2">
        <f t="shared" si="2"/>
        <v>12.781000000000001</v>
      </c>
      <c r="Z92">
        <v>16766523</v>
      </c>
      <c r="AA92">
        <v>12669828</v>
      </c>
      <c r="AB92">
        <v>12500</v>
      </c>
      <c r="AC92">
        <v>1.32</v>
      </c>
      <c r="AD92">
        <v>0.75</v>
      </c>
      <c r="AE92">
        <v>0.79</v>
      </c>
      <c r="AF92">
        <v>0</v>
      </c>
      <c r="AG92">
        <v>3802.91</v>
      </c>
      <c r="AH92">
        <v>18005.64</v>
      </c>
      <c r="AI92">
        <v>0</v>
      </c>
      <c r="AJ92">
        <v>21809</v>
      </c>
      <c r="AK92">
        <v>2</v>
      </c>
      <c r="AL92">
        <v>9</v>
      </c>
      <c r="AM92">
        <v>0</v>
      </c>
      <c r="AN92">
        <v>20</v>
      </c>
      <c r="AO92">
        <v>0</v>
      </c>
      <c r="AP92">
        <v>102</v>
      </c>
      <c r="AQ92">
        <v>2</v>
      </c>
      <c r="AR92">
        <v>0</v>
      </c>
      <c r="AS92">
        <v>0</v>
      </c>
      <c r="AT92">
        <v>0</v>
      </c>
      <c r="AU92">
        <v>0</v>
      </c>
      <c r="AV92">
        <v>3803</v>
      </c>
      <c r="AW92">
        <v>0</v>
      </c>
      <c r="AX92">
        <v>17614</v>
      </c>
      <c r="AY92">
        <v>391</v>
      </c>
      <c r="AZ92">
        <v>0</v>
      </c>
      <c r="BA92">
        <v>0</v>
      </c>
      <c r="BB92">
        <v>0</v>
      </c>
      <c r="BC92">
        <v>70053</v>
      </c>
      <c r="BD92">
        <v>12</v>
      </c>
      <c r="BE92">
        <v>70539</v>
      </c>
      <c r="BF92">
        <v>62</v>
      </c>
      <c r="BG92">
        <v>23235</v>
      </c>
      <c r="BH92">
        <v>984</v>
      </c>
      <c r="BI92">
        <v>23.6128</v>
      </c>
      <c r="BJ92">
        <v>28.704830000000001</v>
      </c>
      <c r="BK92">
        <v>28.704830000000001</v>
      </c>
      <c r="BL92">
        <v>28.704830000000001</v>
      </c>
      <c r="BM92">
        <v>455149.5</v>
      </c>
      <c r="BN92">
        <v>4981343</v>
      </c>
      <c r="BO92">
        <v>54.988210000000002</v>
      </c>
      <c r="BP92">
        <v>2.4777140000000002</v>
      </c>
      <c r="BQ92">
        <v>4.1995200000000003E-2</v>
      </c>
      <c r="BR92">
        <v>22.19312</v>
      </c>
      <c r="BS92">
        <v>711527</v>
      </c>
      <c r="BT92">
        <v>380099.1</v>
      </c>
      <c r="BU92">
        <v>957973.4</v>
      </c>
      <c r="CH92">
        <v>1</v>
      </c>
      <c r="CI92">
        <v>402</v>
      </c>
      <c r="CJ92">
        <v>478480</v>
      </c>
      <c r="CK92">
        <v>4980091</v>
      </c>
      <c r="CL92">
        <v>816</v>
      </c>
      <c r="CM92">
        <v>492625</v>
      </c>
      <c r="CN92">
        <v>4977029</v>
      </c>
      <c r="CO92">
        <v>23364.1</v>
      </c>
      <c r="CP92">
        <v>37723.019999999997</v>
      </c>
      <c r="CQ92">
        <v>23.364100000000001</v>
      </c>
      <c r="CR92">
        <v>37.723010000000002</v>
      </c>
      <c r="CS92">
        <f t="shared" si="3"/>
        <v>1153.5757575757575</v>
      </c>
    </row>
    <row r="93" spans="1:97">
      <c r="A93" t="s">
        <v>266</v>
      </c>
      <c r="B93" t="s">
        <v>182</v>
      </c>
      <c r="C93" t="s">
        <v>266</v>
      </c>
      <c r="D93">
        <v>570</v>
      </c>
      <c r="E93">
        <v>861</v>
      </c>
      <c r="F93">
        <v>312</v>
      </c>
      <c r="G93">
        <v>663</v>
      </c>
      <c r="H93">
        <v>1001.936</v>
      </c>
      <c r="I93">
        <v>54375</v>
      </c>
      <c r="J93">
        <v>0.89</v>
      </c>
      <c r="K93">
        <v>51</v>
      </c>
      <c r="L93">
        <v>41</v>
      </c>
      <c r="M93">
        <v>43</v>
      </c>
      <c r="N93">
        <v>33</v>
      </c>
      <c r="O93">
        <v>86</v>
      </c>
      <c r="P93">
        <v>33</v>
      </c>
      <c r="Q93">
        <v>11</v>
      </c>
      <c r="R93">
        <v>0.18032790000000001</v>
      </c>
      <c r="S93">
        <v>1.3030299999999999</v>
      </c>
      <c r="T93">
        <v>0.46236559999999999</v>
      </c>
      <c r="U93">
        <v>0.1612933</v>
      </c>
      <c r="V93">
        <v>0.2747986</v>
      </c>
      <c r="W93">
        <v>0.7252014</v>
      </c>
      <c r="X93">
        <v>4.0719999999999999E-2</v>
      </c>
      <c r="Y93" s="2">
        <f t="shared" si="2"/>
        <v>40.72</v>
      </c>
      <c r="Z93">
        <v>8612075</v>
      </c>
      <c r="AA93">
        <v>5208331</v>
      </c>
      <c r="AB93">
        <v>12500</v>
      </c>
      <c r="AC93">
        <v>1.65</v>
      </c>
      <c r="AD93">
        <v>0</v>
      </c>
      <c r="AE93">
        <v>0</v>
      </c>
      <c r="AF93">
        <v>0</v>
      </c>
      <c r="AG93">
        <v>0</v>
      </c>
      <c r="AH93">
        <v>6935.61</v>
      </c>
      <c r="AI93">
        <v>0</v>
      </c>
      <c r="AJ93">
        <v>6936</v>
      </c>
      <c r="AK93">
        <v>1</v>
      </c>
      <c r="AL93">
        <v>10</v>
      </c>
      <c r="AM93">
        <v>0</v>
      </c>
      <c r="AN93">
        <v>0</v>
      </c>
      <c r="AO93">
        <v>0</v>
      </c>
      <c r="AP93">
        <v>43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6936</v>
      </c>
      <c r="AY93">
        <v>0</v>
      </c>
      <c r="AZ93">
        <v>0</v>
      </c>
      <c r="BA93">
        <v>0</v>
      </c>
      <c r="BB93">
        <v>0</v>
      </c>
      <c r="BC93">
        <v>4938</v>
      </c>
      <c r="BD93">
        <v>3</v>
      </c>
      <c r="BE93">
        <v>4357</v>
      </c>
      <c r="BF93">
        <v>12</v>
      </c>
      <c r="BG93">
        <v>7895</v>
      </c>
      <c r="BH93">
        <v>312</v>
      </c>
      <c r="BI93">
        <v>25.304490000000001</v>
      </c>
      <c r="BJ93">
        <v>26.844909999999999</v>
      </c>
      <c r="BK93">
        <v>26.844909999999999</v>
      </c>
      <c r="BL93">
        <v>26.844909999999999</v>
      </c>
      <c r="BM93">
        <v>449971.8</v>
      </c>
      <c r="BN93">
        <v>4989230</v>
      </c>
      <c r="BO93">
        <v>18.354959999999998</v>
      </c>
      <c r="BP93">
        <v>0.66171869999999999</v>
      </c>
      <c r="BQ93">
        <v>3.00781E-2</v>
      </c>
      <c r="BR93">
        <v>27.738309999999998</v>
      </c>
      <c r="BS93">
        <v>461843.1</v>
      </c>
      <c r="BT93">
        <v>252798.3</v>
      </c>
      <c r="BU93">
        <v>537196.4</v>
      </c>
      <c r="CH93">
        <v>1</v>
      </c>
      <c r="CI93">
        <v>402</v>
      </c>
      <c r="CJ93">
        <v>478480</v>
      </c>
      <c r="CK93">
        <v>4980091</v>
      </c>
      <c r="CL93">
        <v>816</v>
      </c>
      <c r="CM93">
        <v>492625</v>
      </c>
      <c r="CN93">
        <v>4977029</v>
      </c>
      <c r="CO93">
        <v>29937.05</v>
      </c>
      <c r="CP93">
        <v>44363.77</v>
      </c>
      <c r="CQ93">
        <v>29.937049999999999</v>
      </c>
      <c r="CR93">
        <v>44.363770000000002</v>
      </c>
      <c r="CS93">
        <f t="shared" si="3"/>
        <v>207.27272727272728</v>
      </c>
    </row>
    <row r="94" spans="1:97">
      <c r="A94" t="s">
        <v>267</v>
      </c>
      <c r="B94" t="s">
        <v>255</v>
      </c>
      <c r="C94" t="s">
        <v>267</v>
      </c>
      <c r="D94">
        <v>1359</v>
      </c>
      <c r="E94">
        <v>36</v>
      </c>
      <c r="F94">
        <v>16.31579</v>
      </c>
      <c r="G94">
        <v>460</v>
      </c>
      <c r="H94">
        <v>12.225440000000001</v>
      </c>
      <c r="I94">
        <v>79242</v>
      </c>
      <c r="J94">
        <v>0.86</v>
      </c>
      <c r="K94">
        <v>156</v>
      </c>
      <c r="L94">
        <v>154</v>
      </c>
      <c r="M94">
        <v>134</v>
      </c>
      <c r="N94">
        <v>132</v>
      </c>
      <c r="O94">
        <v>268</v>
      </c>
      <c r="P94">
        <v>132</v>
      </c>
      <c r="Q94">
        <v>3</v>
      </c>
      <c r="R94">
        <v>1.1583E-2</v>
      </c>
      <c r="S94">
        <v>1.0151520000000001</v>
      </c>
      <c r="T94">
        <v>0.3435898</v>
      </c>
      <c r="U94">
        <v>0.40706239999999999</v>
      </c>
      <c r="V94">
        <v>0.60343880000000005</v>
      </c>
      <c r="W94">
        <v>0.3965612</v>
      </c>
      <c r="X94">
        <v>7.7489999999999998E-3</v>
      </c>
      <c r="Y94" s="2">
        <f t="shared" si="2"/>
        <v>7.7489999999999997</v>
      </c>
      <c r="Z94">
        <v>38895929</v>
      </c>
      <c r="AA94">
        <v>26726884</v>
      </c>
      <c r="AB94">
        <v>9951</v>
      </c>
      <c r="AC94">
        <v>1.46</v>
      </c>
      <c r="AD94">
        <v>0.23</v>
      </c>
      <c r="AE94">
        <v>0.44</v>
      </c>
      <c r="AF94">
        <v>0</v>
      </c>
      <c r="AG94">
        <v>4914.91</v>
      </c>
      <c r="AH94">
        <v>49631.45</v>
      </c>
      <c r="AI94">
        <v>0</v>
      </c>
      <c r="AJ94">
        <v>54546</v>
      </c>
      <c r="AK94">
        <v>38</v>
      </c>
      <c r="AL94">
        <v>1</v>
      </c>
      <c r="AM94">
        <v>0</v>
      </c>
      <c r="AN94">
        <v>5</v>
      </c>
      <c r="AO94">
        <v>0</v>
      </c>
      <c r="AP94">
        <v>129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4915</v>
      </c>
      <c r="AW94">
        <v>0</v>
      </c>
      <c r="AX94">
        <v>49631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115509</v>
      </c>
      <c r="BF94">
        <v>137</v>
      </c>
      <c r="BG94">
        <v>13590</v>
      </c>
      <c r="BH94">
        <v>620</v>
      </c>
      <c r="BI94">
        <v>21.919360000000001</v>
      </c>
      <c r="BJ94">
        <v>28.649470000000001</v>
      </c>
      <c r="BK94">
        <v>28.649470000000001</v>
      </c>
      <c r="BL94">
        <v>28.649470000000001</v>
      </c>
      <c r="BM94">
        <v>454166.2</v>
      </c>
      <c r="BN94">
        <v>4954185</v>
      </c>
      <c r="BO94">
        <v>207.97919999999999</v>
      </c>
      <c r="BP94">
        <v>37.626469999999998</v>
      </c>
      <c r="BQ94">
        <v>0.5453112</v>
      </c>
      <c r="BR94">
        <v>5.5274700000000001</v>
      </c>
      <c r="BS94">
        <v>28473.13</v>
      </c>
      <c r="BT94">
        <v>12989.95</v>
      </c>
      <c r="BU94">
        <v>9637.7019999999993</v>
      </c>
      <c r="BV94" s="1">
        <v>280700000</v>
      </c>
      <c r="BW94" s="1">
        <v>952300000</v>
      </c>
      <c r="BX94">
        <v>92912699</v>
      </c>
      <c r="BY94" s="1">
        <v>331900000</v>
      </c>
      <c r="BZ94">
        <v>51407352</v>
      </c>
      <c r="CA94" s="1">
        <v>248000000</v>
      </c>
      <c r="CB94">
        <v>226728</v>
      </c>
      <c r="CC94">
        <v>769210</v>
      </c>
      <c r="CD94">
        <v>143870</v>
      </c>
      <c r="CE94">
        <v>513954</v>
      </c>
      <c r="CF94">
        <v>97362</v>
      </c>
      <c r="CG94">
        <v>470181</v>
      </c>
      <c r="CH94">
        <v>3</v>
      </c>
      <c r="CI94">
        <v>402</v>
      </c>
      <c r="CJ94">
        <v>478480</v>
      </c>
      <c r="CK94">
        <v>4980091</v>
      </c>
      <c r="CL94">
        <v>816</v>
      </c>
      <c r="CM94">
        <v>492625</v>
      </c>
      <c r="CN94">
        <v>4977029</v>
      </c>
      <c r="CO94">
        <v>35529</v>
      </c>
      <c r="CP94">
        <v>44732.02</v>
      </c>
      <c r="CQ94">
        <v>35.529000000000003</v>
      </c>
      <c r="CR94">
        <v>44.732030000000002</v>
      </c>
      <c r="CS94">
        <f t="shared" si="3"/>
        <v>1410.4772727272727</v>
      </c>
    </row>
    <row r="95" spans="1:97">
      <c r="A95" t="s">
        <v>268</v>
      </c>
      <c r="B95" t="s">
        <v>158</v>
      </c>
      <c r="C95" t="s">
        <v>268</v>
      </c>
      <c r="D95">
        <v>7563</v>
      </c>
      <c r="E95">
        <v>514</v>
      </c>
      <c r="F95">
        <v>249</v>
      </c>
      <c r="G95">
        <v>1261</v>
      </c>
      <c r="H95">
        <v>85.679100000000005</v>
      </c>
      <c r="I95">
        <v>72215</v>
      </c>
      <c r="J95">
        <v>0.88</v>
      </c>
      <c r="K95">
        <v>577</v>
      </c>
      <c r="L95">
        <v>469</v>
      </c>
      <c r="M95">
        <v>519</v>
      </c>
      <c r="N95">
        <v>411</v>
      </c>
      <c r="O95">
        <v>1038</v>
      </c>
      <c r="P95">
        <v>411</v>
      </c>
      <c r="Q95">
        <v>109</v>
      </c>
      <c r="R95">
        <v>0.1334149</v>
      </c>
      <c r="S95">
        <v>1.2627740000000001</v>
      </c>
      <c r="T95">
        <v>0.42298289999999999</v>
      </c>
      <c r="U95">
        <v>0.15531310000000001</v>
      </c>
      <c r="V95">
        <v>0.30010730000000002</v>
      </c>
      <c r="W95">
        <v>0.69989259999999998</v>
      </c>
      <c r="X95">
        <v>3.0799999999999998E-3</v>
      </c>
      <c r="Y95" s="2">
        <f t="shared" si="2"/>
        <v>3.0799999999999996</v>
      </c>
      <c r="Z95">
        <v>36479915</v>
      </c>
      <c r="AA95">
        <v>24029194</v>
      </c>
      <c r="AB95">
        <v>11278</v>
      </c>
      <c r="AC95">
        <v>1.52</v>
      </c>
      <c r="AD95">
        <v>0.16</v>
      </c>
      <c r="AE95">
        <v>0.32</v>
      </c>
      <c r="AF95">
        <v>1.98</v>
      </c>
      <c r="AG95">
        <v>1600.03</v>
      </c>
      <c r="AH95">
        <v>79007.460000000006</v>
      </c>
      <c r="AI95">
        <v>1600</v>
      </c>
      <c r="AJ95">
        <v>80607</v>
      </c>
      <c r="AK95">
        <v>15</v>
      </c>
      <c r="AL95">
        <v>5</v>
      </c>
      <c r="AM95">
        <v>3</v>
      </c>
      <c r="AN95">
        <v>0</v>
      </c>
      <c r="AO95">
        <v>0</v>
      </c>
      <c r="AP95">
        <v>506</v>
      </c>
      <c r="AQ95">
        <v>0</v>
      </c>
      <c r="AR95">
        <v>2</v>
      </c>
      <c r="AS95">
        <v>4</v>
      </c>
      <c r="AT95">
        <v>4</v>
      </c>
      <c r="AU95">
        <v>1600</v>
      </c>
      <c r="AV95">
        <v>0</v>
      </c>
      <c r="AW95">
        <v>0</v>
      </c>
      <c r="AX95">
        <v>77300</v>
      </c>
      <c r="AY95">
        <v>0</v>
      </c>
      <c r="AZ95">
        <v>519</v>
      </c>
      <c r="BA95">
        <v>615</v>
      </c>
      <c r="BB95">
        <v>573</v>
      </c>
      <c r="BC95">
        <v>72057</v>
      </c>
      <c r="BD95">
        <v>43</v>
      </c>
      <c r="BE95">
        <v>74071</v>
      </c>
      <c r="BF95">
        <v>16</v>
      </c>
      <c r="BG95">
        <v>89905</v>
      </c>
      <c r="BH95">
        <v>3735</v>
      </c>
      <c r="BI95">
        <v>24.07095</v>
      </c>
      <c r="BJ95">
        <v>25.743680000000001</v>
      </c>
      <c r="BK95">
        <v>25.743680000000001</v>
      </c>
      <c r="BL95">
        <v>25.743680000000001</v>
      </c>
      <c r="BM95">
        <v>502673.3</v>
      </c>
      <c r="BN95">
        <v>4989809</v>
      </c>
      <c r="BO95">
        <v>180.6163</v>
      </c>
      <c r="BP95">
        <v>14.71771</v>
      </c>
      <c r="BQ95">
        <v>8.4101200000000001E-2</v>
      </c>
      <c r="BR95">
        <v>12.272040000000001</v>
      </c>
      <c r="BS95">
        <v>300575.5</v>
      </c>
      <c r="BT95">
        <v>148439.70000000001</v>
      </c>
      <c r="BU95">
        <v>50115.79</v>
      </c>
      <c r="BV95" s="1">
        <v>4588000000</v>
      </c>
      <c r="BW95" s="1">
        <v>12050000000</v>
      </c>
      <c r="BX95" s="1">
        <v>1273000000</v>
      </c>
      <c r="BY95" s="1">
        <v>3457000000</v>
      </c>
      <c r="BZ95" s="1">
        <v>543700000</v>
      </c>
      <c r="CA95" s="1">
        <v>1540000000</v>
      </c>
      <c r="CB95">
        <v>630157</v>
      </c>
      <c r="CC95">
        <v>1655711</v>
      </c>
      <c r="CD95">
        <v>336748</v>
      </c>
      <c r="CE95">
        <v>914488</v>
      </c>
      <c r="CF95">
        <v>374185</v>
      </c>
      <c r="CG95">
        <v>1061060</v>
      </c>
      <c r="CH95">
        <v>3</v>
      </c>
      <c r="CI95">
        <v>402</v>
      </c>
      <c r="CJ95">
        <v>478480</v>
      </c>
      <c r="CK95">
        <v>4980091</v>
      </c>
      <c r="CL95">
        <v>816</v>
      </c>
      <c r="CM95">
        <v>492625</v>
      </c>
      <c r="CN95">
        <v>4977029</v>
      </c>
      <c r="CO95">
        <v>26071.97</v>
      </c>
      <c r="CP95">
        <v>16256.84</v>
      </c>
      <c r="CQ95">
        <v>26.07197</v>
      </c>
      <c r="CR95">
        <v>16.25684</v>
      </c>
      <c r="CS95">
        <f t="shared" si="3"/>
        <v>294.42335766423355</v>
      </c>
    </row>
    <row r="96" spans="1:97">
      <c r="A96" t="s">
        <v>269</v>
      </c>
      <c r="B96" t="s">
        <v>182</v>
      </c>
      <c r="C96" t="s">
        <v>269</v>
      </c>
      <c r="D96">
        <v>50365</v>
      </c>
      <c r="E96">
        <v>555</v>
      </c>
      <c r="F96">
        <v>315.07690000000002</v>
      </c>
      <c r="G96">
        <v>18205</v>
      </c>
      <c r="H96">
        <v>200.6463</v>
      </c>
      <c r="I96">
        <v>76111</v>
      </c>
      <c r="J96">
        <v>0.89</v>
      </c>
      <c r="K96">
        <v>2625</v>
      </c>
      <c r="L96">
        <v>2155</v>
      </c>
      <c r="M96">
        <v>2314</v>
      </c>
      <c r="N96">
        <v>1844</v>
      </c>
      <c r="O96">
        <v>4628</v>
      </c>
      <c r="P96">
        <v>1844</v>
      </c>
      <c r="Q96">
        <v>471</v>
      </c>
      <c r="R96">
        <v>0.1278849</v>
      </c>
      <c r="S96">
        <v>1.2548809999999999</v>
      </c>
      <c r="T96">
        <v>0.4187477</v>
      </c>
      <c r="U96">
        <v>0.1972228</v>
      </c>
      <c r="V96">
        <v>0.20826049999999999</v>
      </c>
      <c r="W96">
        <v>0.79173950000000004</v>
      </c>
      <c r="X96">
        <v>6.8099999999999996E-4</v>
      </c>
      <c r="Y96" s="2">
        <f t="shared" si="2"/>
        <v>0.68099999999999994</v>
      </c>
      <c r="Z96">
        <v>87381014</v>
      </c>
      <c r="AA96">
        <v>62609603</v>
      </c>
      <c r="AB96">
        <v>12500</v>
      </c>
      <c r="AC96">
        <v>1.4</v>
      </c>
      <c r="AD96">
        <v>0.26</v>
      </c>
      <c r="AE96">
        <v>0.43</v>
      </c>
      <c r="AF96">
        <v>4.67</v>
      </c>
      <c r="AG96">
        <v>21690.28</v>
      </c>
      <c r="AH96">
        <v>434683.2</v>
      </c>
      <c r="AI96">
        <v>21300</v>
      </c>
      <c r="AJ96">
        <v>456373</v>
      </c>
      <c r="AK96">
        <v>91</v>
      </c>
      <c r="AL96">
        <v>5</v>
      </c>
      <c r="AM96">
        <v>46</v>
      </c>
      <c r="AN96">
        <v>1</v>
      </c>
      <c r="AO96">
        <v>0</v>
      </c>
      <c r="AP96">
        <v>2234</v>
      </c>
      <c r="AQ96">
        <v>0</v>
      </c>
      <c r="AR96">
        <v>30</v>
      </c>
      <c r="AS96">
        <v>3</v>
      </c>
      <c r="AT96">
        <v>0</v>
      </c>
      <c r="AU96">
        <v>21300</v>
      </c>
      <c r="AV96">
        <v>391</v>
      </c>
      <c r="AW96">
        <v>0</v>
      </c>
      <c r="AX96">
        <v>425176</v>
      </c>
      <c r="AY96">
        <v>0</v>
      </c>
      <c r="AZ96">
        <v>8759</v>
      </c>
      <c r="BA96">
        <v>749</v>
      </c>
      <c r="BB96">
        <v>0</v>
      </c>
      <c r="BC96">
        <v>1518711</v>
      </c>
      <c r="BD96">
        <v>248</v>
      </c>
      <c r="BE96">
        <v>1535613</v>
      </c>
      <c r="BF96">
        <v>49</v>
      </c>
      <c r="BG96">
        <v>732165</v>
      </c>
      <c r="BH96">
        <v>28672</v>
      </c>
      <c r="BI96">
        <v>25.535889999999998</v>
      </c>
      <c r="BJ96">
        <v>26.065740000000002</v>
      </c>
      <c r="BK96">
        <v>26.065740000000002</v>
      </c>
      <c r="BL96">
        <v>26.065740000000002</v>
      </c>
      <c r="BM96">
        <v>463615.5</v>
      </c>
      <c r="BN96">
        <v>4995154</v>
      </c>
      <c r="BO96">
        <v>956.28229999999996</v>
      </c>
      <c r="BP96">
        <v>90.731800000000007</v>
      </c>
      <c r="BQ96">
        <v>0.1458711</v>
      </c>
      <c r="BR96">
        <v>10.53966</v>
      </c>
      <c r="BS96">
        <v>393862.7</v>
      </c>
      <c r="BT96">
        <v>224219.8</v>
      </c>
      <c r="BU96">
        <v>142366.1</v>
      </c>
      <c r="BV96" s="1">
        <v>34820000000</v>
      </c>
      <c r="BW96" s="1">
        <v>89300000000</v>
      </c>
      <c r="BX96" s="1">
        <v>12140000000</v>
      </c>
      <c r="BY96" s="1">
        <v>29590000000</v>
      </c>
      <c r="BZ96" s="1">
        <v>10420000000</v>
      </c>
      <c r="CA96" s="1">
        <v>25500000000</v>
      </c>
      <c r="CB96">
        <v>687409</v>
      </c>
      <c r="CC96">
        <v>1763141</v>
      </c>
      <c r="CD96">
        <v>406536</v>
      </c>
      <c r="CE96">
        <v>991036</v>
      </c>
      <c r="CF96">
        <v>533547</v>
      </c>
      <c r="CG96">
        <v>1305327</v>
      </c>
      <c r="CH96">
        <v>3</v>
      </c>
      <c r="CI96">
        <v>402</v>
      </c>
      <c r="CJ96">
        <v>478480</v>
      </c>
      <c r="CK96">
        <v>4980091</v>
      </c>
      <c r="CL96">
        <v>816</v>
      </c>
      <c r="CM96">
        <v>492625</v>
      </c>
      <c r="CN96">
        <v>4977029</v>
      </c>
      <c r="CO96">
        <v>21162.07</v>
      </c>
      <c r="CP96">
        <v>34206</v>
      </c>
      <c r="CQ96">
        <v>21.16207</v>
      </c>
      <c r="CR96">
        <v>34.206000000000003</v>
      </c>
      <c r="CS96">
        <f t="shared" si="3"/>
        <v>1338.3324295010846</v>
      </c>
    </row>
    <row r="97" spans="1:97">
      <c r="A97" t="s">
        <v>270</v>
      </c>
      <c r="B97" t="s">
        <v>182</v>
      </c>
      <c r="C97" t="s">
        <v>270</v>
      </c>
      <c r="D97">
        <v>2088</v>
      </c>
      <c r="E97">
        <v>752</v>
      </c>
      <c r="F97">
        <v>359.66669999999999</v>
      </c>
      <c r="G97">
        <v>1784</v>
      </c>
      <c r="H97">
        <v>642.70230000000004</v>
      </c>
      <c r="I97">
        <v>50938</v>
      </c>
      <c r="J97">
        <v>0.87</v>
      </c>
      <c r="K97">
        <v>123</v>
      </c>
      <c r="L97">
        <v>97</v>
      </c>
      <c r="M97">
        <v>108</v>
      </c>
      <c r="N97">
        <v>82</v>
      </c>
      <c r="O97">
        <v>216</v>
      </c>
      <c r="P97">
        <v>82</v>
      </c>
      <c r="Q97">
        <v>27</v>
      </c>
      <c r="R97">
        <v>0.1698113</v>
      </c>
      <c r="S97">
        <v>1.3170729999999999</v>
      </c>
      <c r="T97">
        <v>0.45</v>
      </c>
      <c r="U97">
        <v>0.18454390000000001</v>
      </c>
      <c r="V97">
        <v>0.2615056</v>
      </c>
      <c r="W97">
        <v>0.7384944</v>
      </c>
      <c r="X97">
        <v>1.626E-2</v>
      </c>
      <c r="Y97" s="2">
        <f t="shared" si="2"/>
        <v>16.260000000000002</v>
      </c>
      <c r="Z97">
        <v>15444082</v>
      </c>
      <c r="AA97">
        <v>11111419</v>
      </c>
      <c r="AB97">
        <v>12500</v>
      </c>
      <c r="AC97">
        <v>1.39</v>
      </c>
      <c r="AD97">
        <v>0.78</v>
      </c>
      <c r="AE97">
        <v>0.81</v>
      </c>
      <c r="AF97">
        <v>0</v>
      </c>
      <c r="AG97">
        <v>2267.5300000000002</v>
      </c>
      <c r="AH97">
        <v>17663.21</v>
      </c>
      <c r="AI97">
        <v>0</v>
      </c>
      <c r="AJ97">
        <v>19931</v>
      </c>
      <c r="AK97">
        <v>3</v>
      </c>
      <c r="AL97">
        <v>7</v>
      </c>
      <c r="AM97">
        <v>0</v>
      </c>
      <c r="AN97">
        <v>11</v>
      </c>
      <c r="AO97">
        <v>0</v>
      </c>
      <c r="AP97">
        <v>91</v>
      </c>
      <c r="AQ97">
        <v>0</v>
      </c>
      <c r="AR97">
        <v>0</v>
      </c>
      <c r="AS97">
        <v>6</v>
      </c>
      <c r="AT97">
        <v>0</v>
      </c>
      <c r="AU97">
        <v>0</v>
      </c>
      <c r="AV97">
        <v>2268</v>
      </c>
      <c r="AW97">
        <v>0</v>
      </c>
      <c r="AX97">
        <v>16582</v>
      </c>
      <c r="AY97">
        <v>0</v>
      </c>
      <c r="AZ97">
        <v>0</v>
      </c>
      <c r="BA97">
        <v>1081</v>
      </c>
      <c r="BB97">
        <v>0</v>
      </c>
      <c r="BC97">
        <v>34881</v>
      </c>
      <c r="BD97">
        <v>10</v>
      </c>
      <c r="BE97">
        <v>34778</v>
      </c>
      <c r="BF97">
        <v>27</v>
      </c>
      <c r="BG97">
        <v>25045</v>
      </c>
      <c r="BH97">
        <v>1079</v>
      </c>
      <c r="BI97">
        <v>23.211310000000001</v>
      </c>
      <c r="BJ97">
        <v>28.561260000000001</v>
      </c>
      <c r="BK97">
        <v>28.561260000000001</v>
      </c>
      <c r="BL97">
        <v>28.561260000000001</v>
      </c>
      <c r="BM97">
        <v>447851.4</v>
      </c>
      <c r="BN97">
        <v>4984137</v>
      </c>
      <c r="BO97">
        <v>46.681429999999999</v>
      </c>
      <c r="BP97">
        <v>2.7757800000000001</v>
      </c>
      <c r="BQ97">
        <v>6.9394499999999998E-2</v>
      </c>
      <c r="BR97">
        <v>16.817409999999999</v>
      </c>
      <c r="BS97">
        <v>646104.6</v>
      </c>
      <c r="BT97">
        <v>333882.59999999998</v>
      </c>
      <c r="BU97">
        <v>552035.69999999995</v>
      </c>
      <c r="CH97">
        <v>1</v>
      </c>
      <c r="CI97">
        <v>402</v>
      </c>
      <c r="CJ97">
        <v>478480</v>
      </c>
      <c r="CK97">
        <v>4980091</v>
      </c>
      <c r="CL97">
        <v>816</v>
      </c>
      <c r="CM97">
        <v>492625</v>
      </c>
      <c r="CN97">
        <v>4977029</v>
      </c>
      <c r="CO97">
        <v>30894.67</v>
      </c>
      <c r="CP97">
        <v>45334.3</v>
      </c>
      <c r="CQ97">
        <v>30.894670000000001</v>
      </c>
      <c r="CR97">
        <v>45.334299999999999</v>
      </c>
      <c r="CS97">
        <f t="shared" si="3"/>
        <v>687.51219512195121</v>
      </c>
    </row>
    <row r="98" spans="1:97">
      <c r="A98" t="s">
        <v>271</v>
      </c>
      <c r="B98" t="s">
        <v>165</v>
      </c>
      <c r="C98" t="s">
        <v>271</v>
      </c>
      <c r="D98">
        <v>34947</v>
      </c>
      <c r="E98">
        <v>747</v>
      </c>
      <c r="F98">
        <v>374.40429999999998</v>
      </c>
      <c r="G98">
        <v>18703</v>
      </c>
      <c r="H98">
        <v>399.72739999999999</v>
      </c>
      <c r="I98">
        <v>51596</v>
      </c>
      <c r="J98">
        <v>0.87</v>
      </c>
      <c r="K98">
        <v>2167</v>
      </c>
      <c r="L98">
        <v>1600</v>
      </c>
      <c r="M98">
        <v>1864</v>
      </c>
      <c r="N98">
        <v>1297</v>
      </c>
      <c r="O98">
        <v>3728</v>
      </c>
      <c r="P98">
        <v>1297</v>
      </c>
      <c r="Q98">
        <v>568</v>
      </c>
      <c r="R98">
        <v>0.21938969999999999</v>
      </c>
      <c r="S98">
        <v>1.437163</v>
      </c>
      <c r="T98">
        <v>0.4797941</v>
      </c>
      <c r="U98">
        <v>0.18978529999999999</v>
      </c>
      <c r="V98">
        <v>0.12670970000000001</v>
      </c>
      <c r="W98">
        <v>0.87329029999999996</v>
      </c>
      <c r="X98">
        <v>1.109E-3</v>
      </c>
      <c r="Y98" s="2">
        <f t="shared" si="2"/>
        <v>1.109</v>
      </c>
      <c r="Z98">
        <v>98844936</v>
      </c>
      <c r="AA98">
        <v>73504055</v>
      </c>
      <c r="AB98">
        <v>12500</v>
      </c>
      <c r="AC98">
        <v>1.34</v>
      </c>
      <c r="AD98">
        <v>0.59</v>
      </c>
      <c r="AE98">
        <v>0.74</v>
      </c>
      <c r="AF98">
        <v>1.64</v>
      </c>
      <c r="AG98">
        <v>17038.57</v>
      </c>
      <c r="AH98">
        <v>336721.2</v>
      </c>
      <c r="AI98">
        <v>5817</v>
      </c>
      <c r="AJ98">
        <v>353760</v>
      </c>
      <c r="AK98">
        <v>47</v>
      </c>
      <c r="AL98">
        <v>8</v>
      </c>
      <c r="AM98">
        <v>14</v>
      </c>
      <c r="AN98">
        <v>24</v>
      </c>
      <c r="AO98">
        <v>18</v>
      </c>
      <c r="AP98">
        <v>1708</v>
      </c>
      <c r="AQ98">
        <v>0</v>
      </c>
      <c r="AR98">
        <v>39</v>
      </c>
      <c r="AS98">
        <v>61</v>
      </c>
      <c r="AT98">
        <v>0</v>
      </c>
      <c r="AU98">
        <v>5817</v>
      </c>
      <c r="AV98">
        <v>5483</v>
      </c>
      <c r="AW98">
        <v>5738</v>
      </c>
      <c r="AX98">
        <v>315222</v>
      </c>
      <c r="AY98">
        <v>0</v>
      </c>
      <c r="AZ98">
        <v>8482</v>
      </c>
      <c r="BA98">
        <v>13017</v>
      </c>
      <c r="BB98">
        <v>0</v>
      </c>
      <c r="BC98">
        <v>1095253</v>
      </c>
      <c r="BD98">
        <v>170</v>
      </c>
      <c r="BE98">
        <v>958280</v>
      </c>
      <c r="BF98">
        <v>44</v>
      </c>
      <c r="BG98">
        <v>397010</v>
      </c>
      <c r="BH98">
        <v>17597</v>
      </c>
      <c r="BI98">
        <v>22.561229999999998</v>
      </c>
      <c r="BJ98">
        <v>27.879180000000002</v>
      </c>
      <c r="BK98">
        <v>27.879180000000002</v>
      </c>
      <c r="BL98">
        <v>27.879180000000002</v>
      </c>
      <c r="BM98">
        <v>498058.4</v>
      </c>
      <c r="BN98">
        <v>4981209</v>
      </c>
      <c r="BO98">
        <v>676.5462</v>
      </c>
      <c r="BP98">
        <v>46.789389999999997</v>
      </c>
      <c r="BQ98">
        <v>7.7465900000000004E-2</v>
      </c>
      <c r="BR98">
        <v>14.459390000000001</v>
      </c>
      <c r="BS98">
        <v>653016.19999999995</v>
      </c>
      <c r="BT98">
        <v>328815.8</v>
      </c>
      <c r="BU98">
        <v>349482.4</v>
      </c>
      <c r="BV98" s="1">
        <v>32460000000</v>
      </c>
      <c r="BW98" s="1">
        <v>70560000000</v>
      </c>
      <c r="BX98" s="1">
        <v>9510000000</v>
      </c>
      <c r="BY98" s="1">
        <v>20740000000</v>
      </c>
      <c r="BZ98" s="1">
        <v>19270000000</v>
      </c>
      <c r="CA98" s="1">
        <v>37800000000</v>
      </c>
      <c r="CB98">
        <v>941688</v>
      </c>
      <c r="CC98">
        <v>2046834</v>
      </c>
      <c r="CD98">
        <v>525547</v>
      </c>
      <c r="CE98">
        <v>1146285</v>
      </c>
      <c r="CF98">
        <v>694061</v>
      </c>
      <c r="CG98">
        <v>1362443</v>
      </c>
      <c r="CH98">
        <v>3</v>
      </c>
      <c r="CI98">
        <v>402</v>
      </c>
      <c r="CJ98">
        <v>478480</v>
      </c>
      <c r="CK98">
        <v>4980091</v>
      </c>
      <c r="CL98">
        <v>816</v>
      </c>
      <c r="CM98">
        <v>492625</v>
      </c>
      <c r="CN98">
        <v>4977029</v>
      </c>
      <c r="CO98">
        <v>19610.240000000002</v>
      </c>
      <c r="CP98">
        <v>6854.91</v>
      </c>
      <c r="CQ98">
        <v>19.610240000000001</v>
      </c>
      <c r="CR98">
        <v>6.8549100000000003</v>
      </c>
      <c r="CS98">
        <f t="shared" si="3"/>
        <v>1185.5574402467232</v>
      </c>
    </row>
    <row r="99" spans="1:97">
      <c r="A99" t="s">
        <v>272</v>
      </c>
      <c r="B99" t="s">
        <v>158</v>
      </c>
      <c r="C99" t="s">
        <v>273</v>
      </c>
      <c r="D99">
        <v>602</v>
      </c>
      <c r="E99">
        <v>56</v>
      </c>
      <c r="F99">
        <v>24.272729999999999</v>
      </c>
      <c r="G99">
        <v>244</v>
      </c>
      <c r="H99">
        <v>22.635860000000001</v>
      </c>
      <c r="I99">
        <v>66250</v>
      </c>
      <c r="J99">
        <v>0.82</v>
      </c>
      <c r="K99">
        <v>127</v>
      </c>
      <c r="L99">
        <v>112</v>
      </c>
      <c r="M99">
        <v>103</v>
      </c>
      <c r="N99">
        <v>88</v>
      </c>
      <c r="O99">
        <v>206</v>
      </c>
      <c r="P99">
        <v>88</v>
      </c>
      <c r="Q99">
        <v>16</v>
      </c>
      <c r="R99">
        <v>9.3567300000000006E-2</v>
      </c>
      <c r="S99">
        <v>1.170455</v>
      </c>
      <c r="T99">
        <v>0.39922479999999999</v>
      </c>
      <c r="U99">
        <v>0.26051999999999997</v>
      </c>
      <c r="V99">
        <v>0.67287660000000005</v>
      </c>
      <c r="W99">
        <v>0.32712340000000001</v>
      </c>
      <c r="X99">
        <v>1.3454000000000001E-2</v>
      </c>
      <c r="Y99" s="2">
        <f t="shared" si="2"/>
        <v>13.454000000000001</v>
      </c>
      <c r="Z99">
        <v>28809882</v>
      </c>
      <c r="AA99">
        <v>19146307</v>
      </c>
      <c r="AB99">
        <v>12500</v>
      </c>
      <c r="AC99">
        <v>1.5</v>
      </c>
      <c r="AD99">
        <v>0.76</v>
      </c>
      <c r="AE99">
        <v>0.89</v>
      </c>
      <c r="AF99">
        <v>0</v>
      </c>
      <c r="AG99">
        <v>4548.8999999999996</v>
      </c>
      <c r="AH99">
        <v>22284.66</v>
      </c>
      <c r="AI99">
        <v>0</v>
      </c>
      <c r="AJ99">
        <v>26834</v>
      </c>
      <c r="AK99">
        <v>11</v>
      </c>
      <c r="AL99">
        <v>2</v>
      </c>
      <c r="AM99">
        <v>0</v>
      </c>
      <c r="AN99">
        <v>0</v>
      </c>
      <c r="AO99">
        <v>11</v>
      </c>
      <c r="AP99">
        <v>87</v>
      </c>
      <c r="AQ99">
        <v>0</v>
      </c>
      <c r="AR99">
        <v>0</v>
      </c>
      <c r="AS99">
        <v>5</v>
      </c>
      <c r="AT99">
        <v>0</v>
      </c>
      <c r="AU99">
        <v>0</v>
      </c>
      <c r="AV99">
        <v>0</v>
      </c>
      <c r="AW99">
        <v>4549</v>
      </c>
      <c r="AX99">
        <v>21209</v>
      </c>
      <c r="AY99">
        <v>0</v>
      </c>
      <c r="AZ99">
        <v>0</v>
      </c>
      <c r="BA99">
        <v>1076</v>
      </c>
      <c r="BB99">
        <v>0</v>
      </c>
      <c r="BC99">
        <v>18557</v>
      </c>
      <c r="BD99">
        <v>14</v>
      </c>
      <c r="BE99">
        <v>17946</v>
      </c>
      <c r="BF99">
        <v>48</v>
      </c>
      <c r="BG99">
        <v>7860</v>
      </c>
      <c r="BH99">
        <v>267</v>
      </c>
      <c r="BI99">
        <v>29.438199999999998</v>
      </c>
      <c r="BJ99">
        <v>29.35012</v>
      </c>
      <c r="BK99">
        <v>29.35012</v>
      </c>
      <c r="BL99">
        <v>29.35012</v>
      </c>
      <c r="BM99">
        <v>517399.4</v>
      </c>
      <c r="BN99">
        <v>5004999</v>
      </c>
      <c r="BO99">
        <v>82.141490000000005</v>
      </c>
      <c r="BP99">
        <v>10.77936</v>
      </c>
      <c r="BQ99">
        <v>0.27639370000000002</v>
      </c>
      <c r="BR99">
        <v>7.6202589999999999</v>
      </c>
      <c r="BS99">
        <v>43221.33</v>
      </c>
      <c r="BT99">
        <v>19169.59</v>
      </c>
      <c r="BU99">
        <v>17518.28</v>
      </c>
      <c r="BV99">
        <v>43879780</v>
      </c>
      <c r="BW99" s="1">
        <v>143800000</v>
      </c>
      <c r="BX99">
        <v>11348501</v>
      </c>
      <c r="BY99">
        <v>41776860</v>
      </c>
      <c r="BZ99">
        <v>4446200</v>
      </c>
      <c r="CA99" s="1">
        <v>22800000</v>
      </c>
      <c r="CB99">
        <v>72890</v>
      </c>
      <c r="CC99">
        <v>238906</v>
      </c>
      <c r="CD99">
        <v>39960</v>
      </c>
      <c r="CE99">
        <v>147102</v>
      </c>
      <c r="CF99">
        <v>18920</v>
      </c>
      <c r="CG99">
        <v>97116</v>
      </c>
      <c r="CH99">
        <v>3</v>
      </c>
      <c r="CI99">
        <v>402</v>
      </c>
      <c r="CJ99">
        <v>478480</v>
      </c>
      <c r="CK99">
        <v>4980091</v>
      </c>
      <c r="CL99">
        <v>816</v>
      </c>
      <c r="CM99">
        <v>492625</v>
      </c>
      <c r="CN99">
        <v>4977029</v>
      </c>
      <c r="CO99">
        <v>46207.43</v>
      </c>
      <c r="CP99">
        <v>37364.300000000003</v>
      </c>
      <c r="CQ99">
        <v>46.207419999999999</v>
      </c>
      <c r="CR99">
        <v>37.3643</v>
      </c>
      <c r="CS99">
        <f t="shared" si="3"/>
        <v>328.36363636363637</v>
      </c>
    </row>
    <row r="100" spans="1:97">
      <c r="A100" t="s">
        <v>79</v>
      </c>
      <c r="B100" t="s">
        <v>163</v>
      </c>
      <c r="C100" t="s">
        <v>79</v>
      </c>
      <c r="D100">
        <v>1263</v>
      </c>
      <c r="E100">
        <v>14</v>
      </c>
      <c r="F100">
        <v>6.3666669999999996</v>
      </c>
      <c r="G100">
        <v>203</v>
      </c>
      <c r="H100">
        <v>2.2608990000000002</v>
      </c>
      <c r="I100">
        <v>62171</v>
      </c>
      <c r="J100">
        <v>0.83</v>
      </c>
      <c r="K100">
        <v>177</v>
      </c>
      <c r="L100">
        <v>147</v>
      </c>
      <c r="M100">
        <v>138</v>
      </c>
      <c r="N100">
        <v>108</v>
      </c>
      <c r="O100">
        <v>276</v>
      </c>
      <c r="P100">
        <v>108</v>
      </c>
      <c r="Q100">
        <v>31</v>
      </c>
      <c r="R100">
        <v>0.14691940000000001</v>
      </c>
      <c r="S100">
        <v>1.2777780000000001</v>
      </c>
      <c r="T100">
        <v>0.43396230000000002</v>
      </c>
      <c r="U100">
        <v>0.97203819999999996</v>
      </c>
      <c r="V100">
        <v>0.13651930000000001</v>
      </c>
      <c r="W100">
        <v>0.86348069999999999</v>
      </c>
      <c r="X100">
        <v>1.1941999999999999E-2</v>
      </c>
      <c r="Y100" s="2">
        <f t="shared" si="2"/>
        <v>11.942</v>
      </c>
      <c r="Z100">
        <v>86241739</v>
      </c>
      <c r="AA100">
        <v>62330676</v>
      </c>
      <c r="AB100">
        <v>12400</v>
      </c>
      <c r="AC100">
        <v>1.38</v>
      </c>
      <c r="AD100">
        <v>0.83</v>
      </c>
      <c r="AE100">
        <v>0.65</v>
      </c>
      <c r="AF100">
        <v>0</v>
      </c>
      <c r="AG100">
        <v>9132.56</v>
      </c>
      <c r="AH100">
        <v>125008.7</v>
      </c>
      <c r="AI100">
        <v>0</v>
      </c>
      <c r="AJ100">
        <v>134141</v>
      </c>
      <c r="AK100">
        <v>90</v>
      </c>
      <c r="AL100">
        <v>1</v>
      </c>
      <c r="AM100">
        <v>0</v>
      </c>
      <c r="AN100">
        <v>11</v>
      </c>
      <c r="AO100">
        <v>0</v>
      </c>
      <c r="AP100">
        <v>116</v>
      </c>
      <c r="AQ100">
        <v>0</v>
      </c>
      <c r="AR100">
        <v>1</v>
      </c>
      <c r="AS100">
        <v>10</v>
      </c>
      <c r="AT100">
        <v>0</v>
      </c>
      <c r="AU100">
        <v>0</v>
      </c>
      <c r="AV100">
        <v>9133</v>
      </c>
      <c r="AW100">
        <v>0</v>
      </c>
      <c r="AX100">
        <v>117950</v>
      </c>
      <c r="AY100">
        <v>0</v>
      </c>
      <c r="AZ100">
        <v>72</v>
      </c>
      <c r="BA100">
        <v>6987</v>
      </c>
      <c r="BB100">
        <v>0</v>
      </c>
      <c r="BC100">
        <v>0</v>
      </c>
      <c r="BD100">
        <v>0</v>
      </c>
      <c r="BE100">
        <v>96027</v>
      </c>
      <c r="BF100">
        <v>122</v>
      </c>
      <c r="BG100">
        <v>14230</v>
      </c>
      <c r="BH100">
        <v>573</v>
      </c>
      <c r="BI100">
        <v>24.834209999999999</v>
      </c>
      <c r="BJ100">
        <v>28.8124</v>
      </c>
      <c r="BK100">
        <v>28.8124</v>
      </c>
      <c r="BL100">
        <v>28.8124</v>
      </c>
      <c r="BM100">
        <v>511631</v>
      </c>
      <c r="BN100">
        <v>4946532</v>
      </c>
      <c r="BO100">
        <v>265.3297</v>
      </c>
      <c r="BP100">
        <v>89.787300000000002</v>
      </c>
      <c r="BQ100">
        <v>1.402927</v>
      </c>
      <c r="BR100">
        <v>2.9550920000000001</v>
      </c>
      <c r="BS100">
        <v>12408.05</v>
      </c>
      <c r="BT100">
        <v>5629.3050000000003</v>
      </c>
      <c r="BU100">
        <v>1994.326</v>
      </c>
      <c r="BV100" s="1">
        <v>108900000</v>
      </c>
      <c r="BW100" s="1">
        <v>733700000</v>
      </c>
      <c r="BX100">
        <v>31916653</v>
      </c>
      <c r="BY100" s="1">
        <v>221900000</v>
      </c>
      <c r="BZ100">
        <v>5430680</v>
      </c>
      <c r="CA100" s="1">
        <v>38600000</v>
      </c>
      <c r="CB100">
        <v>60437</v>
      </c>
      <c r="CC100">
        <v>407175</v>
      </c>
      <c r="CD100">
        <v>32808</v>
      </c>
      <c r="CE100">
        <v>228064</v>
      </c>
      <c r="CF100">
        <v>24685</v>
      </c>
      <c r="CG100">
        <v>175240</v>
      </c>
      <c r="CH100">
        <v>3</v>
      </c>
      <c r="CI100">
        <v>402</v>
      </c>
      <c r="CJ100">
        <v>478480</v>
      </c>
      <c r="CK100">
        <v>4980091</v>
      </c>
      <c r="CL100">
        <v>816</v>
      </c>
      <c r="CM100">
        <v>492625</v>
      </c>
      <c r="CN100">
        <v>4977029</v>
      </c>
      <c r="CO100">
        <v>47171.98</v>
      </c>
      <c r="CP100">
        <v>35934.589999999997</v>
      </c>
      <c r="CQ100">
        <v>47.171979999999998</v>
      </c>
      <c r="CR100">
        <v>35.93459</v>
      </c>
      <c r="CS100">
        <f t="shared" si="3"/>
        <v>1426.7222222222222</v>
      </c>
    </row>
    <row r="101" spans="1:97">
      <c r="A101" t="s">
        <v>80</v>
      </c>
      <c r="B101" t="s">
        <v>158</v>
      </c>
      <c r="C101" t="s">
        <v>80</v>
      </c>
      <c r="D101">
        <v>2928</v>
      </c>
      <c r="E101">
        <v>30</v>
      </c>
      <c r="F101">
        <v>14.9596</v>
      </c>
      <c r="G101">
        <v>47</v>
      </c>
      <c r="H101">
        <v>0.47683710000000001</v>
      </c>
      <c r="I101">
        <v>80374</v>
      </c>
      <c r="J101">
        <v>0.86</v>
      </c>
      <c r="K101">
        <v>268</v>
      </c>
      <c r="L101">
        <v>249</v>
      </c>
      <c r="M101">
        <v>211</v>
      </c>
      <c r="N101">
        <v>192</v>
      </c>
      <c r="O101">
        <v>422</v>
      </c>
      <c r="P101">
        <v>192</v>
      </c>
      <c r="Q101">
        <v>20</v>
      </c>
      <c r="R101">
        <v>5.2770499999999998E-2</v>
      </c>
      <c r="S101">
        <v>1.0989580000000001</v>
      </c>
      <c r="T101">
        <v>0.37017549999999999</v>
      </c>
      <c r="U101">
        <v>0.65649939999999996</v>
      </c>
      <c r="V101">
        <v>0.41408289999999998</v>
      </c>
      <c r="W101">
        <v>0.58591709999999997</v>
      </c>
      <c r="X101">
        <v>5.7540000000000004E-3</v>
      </c>
      <c r="Y101" s="2">
        <f t="shared" si="2"/>
        <v>5.7540000000000004</v>
      </c>
      <c r="Z101">
        <v>107065779</v>
      </c>
      <c r="AA101">
        <v>71610026</v>
      </c>
      <c r="AB101">
        <v>12500</v>
      </c>
      <c r="AC101">
        <v>1.5</v>
      </c>
      <c r="AD101">
        <v>0.39</v>
      </c>
      <c r="AE101">
        <v>0.31</v>
      </c>
      <c r="AF101">
        <v>0</v>
      </c>
      <c r="AG101">
        <v>6348.49</v>
      </c>
      <c r="AH101">
        <v>132172.9</v>
      </c>
      <c r="AI101">
        <v>0</v>
      </c>
      <c r="AJ101">
        <v>138521</v>
      </c>
      <c r="AK101">
        <v>99</v>
      </c>
      <c r="AL101">
        <v>1</v>
      </c>
      <c r="AM101">
        <v>0</v>
      </c>
      <c r="AN101">
        <v>0</v>
      </c>
      <c r="AO101">
        <v>12</v>
      </c>
      <c r="AP101">
        <v>197</v>
      </c>
      <c r="AQ101">
        <v>0</v>
      </c>
      <c r="AR101">
        <v>0</v>
      </c>
      <c r="AS101">
        <v>2</v>
      </c>
      <c r="AT101">
        <v>0</v>
      </c>
      <c r="AU101">
        <v>0</v>
      </c>
      <c r="AV101">
        <v>0</v>
      </c>
      <c r="AW101">
        <v>6348</v>
      </c>
      <c r="AX101">
        <v>131535</v>
      </c>
      <c r="AY101">
        <v>0</v>
      </c>
      <c r="AZ101">
        <v>0</v>
      </c>
      <c r="BA101">
        <v>638</v>
      </c>
      <c r="BB101">
        <v>0</v>
      </c>
      <c r="BC101">
        <v>0</v>
      </c>
      <c r="BD101">
        <v>0</v>
      </c>
      <c r="BE101">
        <v>74888</v>
      </c>
      <c r="BF101">
        <v>41</v>
      </c>
      <c r="BG101">
        <v>45370</v>
      </c>
      <c r="BH101">
        <v>1481</v>
      </c>
      <c r="BI101">
        <v>30.634709999999998</v>
      </c>
      <c r="BJ101">
        <v>27.81195</v>
      </c>
      <c r="BK101">
        <v>27.81195</v>
      </c>
      <c r="BL101">
        <v>27.81195</v>
      </c>
      <c r="BM101">
        <v>513346.1</v>
      </c>
      <c r="BN101">
        <v>5001099</v>
      </c>
      <c r="BO101">
        <v>420.81049999999999</v>
      </c>
      <c r="BP101">
        <v>98.566149999999993</v>
      </c>
      <c r="BQ101">
        <v>0.96633480000000005</v>
      </c>
      <c r="BR101">
        <v>4.2693199999999996</v>
      </c>
      <c r="BS101">
        <v>20909.330000000002</v>
      </c>
      <c r="BT101">
        <v>10576.07</v>
      </c>
      <c r="BU101">
        <v>335.63479999999998</v>
      </c>
      <c r="BV101" s="1">
        <v>263600000</v>
      </c>
      <c r="BW101" s="1">
        <v>834000000</v>
      </c>
      <c r="BX101">
        <v>78026735</v>
      </c>
      <c r="BY101" s="1">
        <v>268500000</v>
      </c>
      <c r="BZ101">
        <v>1214600</v>
      </c>
      <c r="CA101">
        <v>4454160</v>
      </c>
      <c r="CB101">
        <v>90019</v>
      </c>
      <c r="CC101">
        <v>284827</v>
      </c>
      <c r="CD101">
        <v>49290</v>
      </c>
      <c r="CE101">
        <v>169627</v>
      </c>
      <c r="CF101">
        <v>30365</v>
      </c>
      <c r="CG101">
        <v>111354</v>
      </c>
      <c r="CH101">
        <v>3</v>
      </c>
      <c r="CI101">
        <v>402</v>
      </c>
      <c r="CJ101">
        <v>478480</v>
      </c>
      <c r="CK101">
        <v>4980091</v>
      </c>
      <c r="CL101">
        <v>816</v>
      </c>
      <c r="CM101">
        <v>492625</v>
      </c>
      <c r="CN101">
        <v>4977029</v>
      </c>
      <c r="CO101">
        <v>40705.769999999997</v>
      </c>
      <c r="CP101">
        <v>31760.11</v>
      </c>
      <c r="CQ101">
        <v>40.705770000000001</v>
      </c>
      <c r="CR101">
        <v>31.760110000000001</v>
      </c>
      <c r="CS101">
        <f t="shared" si="3"/>
        <v>625.25</v>
      </c>
    </row>
    <row r="102" spans="1:97">
      <c r="A102" t="s">
        <v>81</v>
      </c>
      <c r="B102" t="s">
        <v>258</v>
      </c>
      <c r="C102" t="s">
        <v>81</v>
      </c>
      <c r="D102">
        <v>554</v>
      </c>
      <c r="E102">
        <v>236</v>
      </c>
      <c r="F102">
        <v>143.5</v>
      </c>
      <c r="G102">
        <v>88</v>
      </c>
      <c r="H102">
        <v>37.419020000000003</v>
      </c>
      <c r="I102">
        <v>48125</v>
      </c>
      <c r="J102">
        <v>0.84</v>
      </c>
      <c r="K102">
        <v>86</v>
      </c>
      <c r="L102">
        <v>77</v>
      </c>
      <c r="M102">
        <v>68</v>
      </c>
      <c r="N102">
        <v>59</v>
      </c>
      <c r="O102">
        <v>136</v>
      </c>
      <c r="P102">
        <v>59</v>
      </c>
      <c r="Q102">
        <v>10</v>
      </c>
      <c r="R102">
        <v>8.8495599999999994E-2</v>
      </c>
      <c r="S102">
        <v>1.152542</v>
      </c>
      <c r="T102">
        <v>0.39766079999999998</v>
      </c>
      <c r="U102">
        <v>0.14712729999999999</v>
      </c>
      <c r="V102">
        <v>0.50807720000000001</v>
      </c>
      <c r="W102">
        <v>0.49192279999999999</v>
      </c>
      <c r="X102">
        <v>1.9871E-2</v>
      </c>
      <c r="Y102" s="2">
        <f t="shared" si="2"/>
        <v>19.870999999999999</v>
      </c>
      <c r="Z102">
        <v>5132962</v>
      </c>
      <c r="AA102">
        <v>3802519</v>
      </c>
      <c r="AB102">
        <v>7363</v>
      </c>
      <c r="AC102">
        <v>1.35</v>
      </c>
      <c r="AD102">
        <v>0.82</v>
      </c>
      <c r="AE102">
        <v>0.93</v>
      </c>
      <c r="AF102">
        <v>0</v>
      </c>
      <c r="AG102">
        <v>1318.06</v>
      </c>
      <c r="AH102">
        <v>8686.59</v>
      </c>
      <c r="AI102">
        <v>0</v>
      </c>
      <c r="AJ102">
        <v>10005</v>
      </c>
      <c r="AK102">
        <v>2</v>
      </c>
      <c r="AL102">
        <v>4</v>
      </c>
      <c r="AM102">
        <v>0</v>
      </c>
      <c r="AN102">
        <v>0</v>
      </c>
      <c r="AO102">
        <v>9</v>
      </c>
      <c r="AP102">
        <v>56</v>
      </c>
      <c r="AQ102">
        <v>0</v>
      </c>
      <c r="AR102">
        <v>0</v>
      </c>
      <c r="AS102">
        <v>3</v>
      </c>
      <c r="AT102">
        <v>0</v>
      </c>
      <c r="AU102">
        <v>0</v>
      </c>
      <c r="AV102">
        <v>0</v>
      </c>
      <c r="AW102">
        <v>1318</v>
      </c>
      <c r="AX102">
        <v>7928</v>
      </c>
      <c r="AY102">
        <v>0</v>
      </c>
      <c r="AZ102">
        <v>0</v>
      </c>
      <c r="BA102">
        <v>759</v>
      </c>
      <c r="BB102">
        <v>0</v>
      </c>
      <c r="BC102">
        <v>3694</v>
      </c>
      <c r="BD102">
        <v>3</v>
      </c>
      <c r="BE102">
        <v>4256</v>
      </c>
      <c r="BF102">
        <v>12</v>
      </c>
      <c r="BG102">
        <v>8120</v>
      </c>
      <c r="BH102">
        <v>287</v>
      </c>
      <c r="BI102">
        <v>28.292680000000001</v>
      </c>
      <c r="BJ102">
        <v>26.95</v>
      </c>
      <c r="BK102">
        <v>26.95</v>
      </c>
      <c r="BL102">
        <v>26.95</v>
      </c>
      <c r="BM102">
        <v>429383.6</v>
      </c>
      <c r="BN102">
        <v>4970616</v>
      </c>
      <c r="BO102">
        <v>38.153500000000001</v>
      </c>
      <c r="BP102">
        <v>2.3517450000000002</v>
      </c>
      <c r="BQ102">
        <v>6.5326300000000004E-2</v>
      </c>
      <c r="BR102">
        <v>16.223479999999999</v>
      </c>
      <c r="BS102">
        <v>190999</v>
      </c>
      <c r="BT102">
        <v>98947.15</v>
      </c>
      <c r="BU102">
        <v>30339.200000000001</v>
      </c>
      <c r="CH102">
        <v>1</v>
      </c>
      <c r="CI102">
        <v>402</v>
      </c>
      <c r="CJ102">
        <v>478480</v>
      </c>
      <c r="CK102">
        <v>4980091</v>
      </c>
      <c r="CL102">
        <v>816</v>
      </c>
      <c r="CM102">
        <v>492625</v>
      </c>
      <c r="CN102">
        <v>4977029</v>
      </c>
      <c r="CO102">
        <v>50002.3</v>
      </c>
      <c r="CP102">
        <v>63565.7</v>
      </c>
      <c r="CQ102">
        <v>50.002299999999998</v>
      </c>
      <c r="CR102">
        <v>63.5657</v>
      </c>
      <c r="CS102">
        <f t="shared" si="3"/>
        <v>112.67796610169492</v>
      </c>
    </row>
    <row r="103" spans="1:97">
      <c r="A103" t="s">
        <v>82</v>
      </c>
      <c r="B103" t="s">
        <v>182</v>
      </c>
      <c r="C103" t="s">
        <v>82</v>
      </c>
      <c r="D103">
        <v>368</v>
      </c>
      <c r="E103">
        <v>383</v>
      </c>
      <c r="F103">
        <v>221</v>
      </c>
      <c r="G103">
        <v>0</v>
      </c>
      <c r="H103">
        <v>0</v>
      </c>
      <c r="I103">
        <v>70750</v>
      </c>
      <c r="J103">
        <v>0.82</v>
      </c>
      <c r="K103">
        <v>14</v>
      </c>
      <c r="L103">
        <v>14</v>
      </c>
      <c r="M103">
        <v>10</v>
      </c>
      <c r="N103">
        <v>10</v>
      </c>
      <c r="O103">
        <v>20</v>
      </c>
      <c r="P103">
        <v>10</v>
      </c>
      <c r="Q103">
        <v>1</v>
      </c>
      <c r="R103">
        <v>6.6666699999999995E-2</v>
      </c>
      <c r="S103">
        <v>1</v>
      </c>
      <c r="T103">
        <v>0.4166667</v>
      </c>
      <c r="U103">
        <v>0.26094600000000001</v>
      </c>
      <c r="V103">
        <v>0.76905950000000001</v>
      </c>
      <c r="W103">
        <v>0.23094049999999999</v>
      </c>
      <c r="X103">
        <v>0.111111</v>
      </c>
      <c r="Y103" s="2">
        <f t="shared" si="2"/>
        <v>111.111</v>
      </c>
      <c r="Z103">
        <v>7124677</v>
      </c>
      <c r="AA103">
        <v>6232035</v>
      </c>
      <c r="AB103">
        <v>12500</v>
      </c>
      <c r="AC103">
        <v>1.1399999999999999</v>
      </c>
      <c r="AD103">
        <v>0</v>
      </c>
      <c r="AE103">
        <v>0</v>
      </c>
      <c r="AF103">
        <v>0</v>
      </c>
      <c r="AG103">
        <v>0</v>
      </c>
      <c r="AH103">
        <v>2609.46</v>
      </c>
      <c r="AI103">
        <v>0</v>
      </c>
      <c r="AJ103">
        <v>2609</v>
      </c>
      <c r="AK103">
        <v>1</v>
      </c>
      <c r="AL103">
        <v>3</v>
      </c>
      <c r="AM103">
        <v>0</v>
      </c>
      <c r="AN103">
        <v>0</v>
      </c>
      <c r="AO103">
        <v>0</v>
      </c>
      <c r="AP103">
        <v>10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2609</v>
      </c>
      <c r="AY103">
        <v>0</v>
      </c>
      <c r="AZ103">
        <v>0</v>
      </c>
      <c r="BA103">
        <v>0</v>
      </c>
      <c r="BB103">
        <v>0</v>
      </c>
      <c r="BC103">
        <v>963</v>
      </c>
      <c r="BD103">
        <v>2</v>
      </c>
      <c r="BE103">
        <v>963</v>
      </c>
      <c r="BF103">
        <v>4</v>
      </c>
      <c r="BG103">
        <v>4460</v>
      </c>
      <c r="BH103">
        <v>221</v>
      </c>
      <c r="BI103">
        <v>20.181000000000001</v>
      </c>
      <c r="BJ103">
        <v>25.384740000000001</v>
      </c>
      <c r="BK103">
        <v>25.384740000000001</v>
      </c>
      <c r="BL103">
        <v>25.384740000000001</v>
      </c>
      <c r="BM103">
        <v>466901.7</v>
      </c>
      <c r="BN103">
        <v>4983027</v>
      </c>
      <c r="BO103">
        <v>14.955260000000001</v>
      </c>
      <c r="BP103">
        <v>0.96178180000000002</v>
      </c>
      <c r="BQ103">
        <v>0.1202227</v>
      </c>
      <c r="BR103">
        <v>15.54954</v>
      </c>
      <c r="BS103">
        <v>383736.9</v>
      </c>
      <c r="BT103">
        <v>230450.7</v>
      </c>
      <c r="BU103">
        <v>0</v>
      </c>
      <c r="CH103">
        <v>1</v>
      </c>
      <c r="CI103">
        <v>402</v>
      </c>
      <c r="CJ103">
        <v>478480</v>
      </c>
      <c r="CK103">
        <v>4980091</v>
      </c>
      <c r="CL103">
        <v>816</v>
      </c>
      <c r="CM103">
        <v>492625</v>
      </c>
      <c r="CN103">
        <v>4977029</v>
      </c>
      <c r="CO103">
        <v>11944.77</v>
      </c>
      <c r="CP103">
        <v>26413.35</v>
      </c>
      <c r="CQ103">
        <v>11.94477</v>
      </c>
      <c r="CR103">
        <v>26.413350000000001</v>
      </c>
      <c r="CS103">
        <f t="shared" si="3"/>
        <v>147.19999999999999</v>
      </c>
    </row>
    <row r="104" spans="1:97">
      <c r="A104" t="s">
        <v>83</v>
      </c>
      <c r="B104" t="s">
        <v>182</v>
      </c>
      <c r="C104" t="s">
        <v>83</v>
      </c>
      <c r="D104">
        <v>4005</v>
      </c>
      <c r="E104">
        <v>57</v>
      </c>
      <c r="F104">
        <v>27.31429</v>
      </c>
      <c r="G104">
        <v>3229</v>
      </c>
      <c r="H104">
        <v>46.026209999999999</v>
      </c>
      <c r="I104">
        <v>88847</v>
      </c>
      <c r="J104">
        <v>0.9</v>
      </c>
      <c r="K104">
        <v>422</v>
      </c>
      <c r="L104">
        <v>387</v>
      </c>
      <c r="M104">
        <v>341</v>
      </c>
      <c r="N104">
        <v>306</v>
      </c>
      <c r="O104">
        <v>682</v>
      </c>
      <c r="P104">
        <v>306</v>
      </c>
      <c r="Q104">
        <v>36</v>
      </c>
      <c r="R104">
        <v>5.9308100000000002E-2</v>
      </c>
      <c r="S104">
        <v>1.114379</v>
      </c>
      <c r="T104">
        <v>0.3739035</v>
      </c>
      <c r="U104">
        <v>0.42224620000000002</v>
      </c>
      <c r="V104">
        <v>0.38251170000000001</v>
      </c>
      <c r="W104">
        <v>0.61748829999999999</v>
      </c>
      <c r="X104">
        <v>3.6540000000000001E-3</v>
      </c>
      <c r="Y104" s="2">
        <f t="shared" si="2"/>
        <v>3.6539999999999999</v>
      </c>
      <c r="Z104">
        <v>72019323</v>
      </c>
      <c r="AA104">
        <v>51818890</v>
      </c>
      <c r="AB104">
        <v>11717</v>
      </c>
      <c r="AC104">
        <v>1.39</v>
      </c>
      <c r="AD104">
        <v>0.82</v>
      </c>
      <c r="AE104">
        <v>0.9</v>
      </c>
      <c r="AF104">
        <v>0</v>
      </c>
      <c r="AG104">
        <v>10841.37</v>
      </c>
      <c r="AH104">
        <v>133144.6</v>
      </c>
      <c r="AI104">
        <v>0</v>
      </c>
      <c r="AJ104">
        <v>143986</v>
      </c>
      <c r="AK104">
        <v>70</v>
      </c>
      <c r="AL104">
        <v>2</v>
      </c>
      <c r="AM104">
        <v>0</v>
      </c>
      <c r="AN104">
        <v>1</v>
      </c>
      <c r="AO104">
        <v>13</v>
      </c>
      <c r="AP104">
        <v>282</v>
      </c>
      <c r="AQ104">
        <v>0</v>
      </c>
      <c r="AR104">
        <v>0</v>
      </c>
      <c r="AS104">
        <v>45</v>
      </c>
      <c r="AT104">
        <v>0</v>
      </c>
      <c r="AU104">
        <v>0</v>
      </c>
      <c r="AV104">
        <v>741</v>
      </c>
      <c r="AW104">
        <v>10100</v>
      </c>
      <c r="AX104">
        <v>117298</v>
      </c>
      <c r="AY104">
        <v>0</v>
      </c>
      <c r="AZ104">
        <v>0</v>
      </c>
      <c r="BA104">
        <v>15847</v>
      </c>
      <c r="BB104">
        <v>0</v>
      </c>
      <c r="BC104">
        <v>208294</v>
      </c>
      <c r="BD104">
        <v>66</v>
      </c>
      <c r="BE104">
        <v>209300</v>
      </c>
      <c r="BF104">
        <v>84</v>
      </c>
      <c r="BG104">
        <v>47635</v>
      </c>
      <c r="BH104">
        <v>1912</v>
      </c>
      <c r="BI104">
        <v>24.913699999999999</v>
      </c>
      <c r="BJ104">
        <v>27.261340000000001</v>
      </c>
      <c r="BK104">
        <v>27.261340000000001</v>
      </c>
      <c r="BL104">
        <v>27.261340000000001</v>
      </c>
      <c r="BM104">
        <v>454047.3</v>
      </c>
      <c r="BN104">
        <v>4986747</v>
      </c>
      <c r="BO104">
        <v>339.31060000000002</v>
      </c>
      <c r="BP104">
        <v>70.155680000000004</v>
      </c>
      <c r="BQ104">
        <v>0.54384239999999995</v>
      </c>
      <c r="BR104">
        <v>4.8365390000000001</v>
      </c>
      <c r="BS104">
        <v>44678.64</v>
      </c>
      <c r="BT104">
        <v>21329.73</v>
      </c>
      <c r="BU104">
        <v>36021.81</v>
      </c>
      <c r="BV104" s="1">
        <v>1310000000</v>
      </c>
      <c r="BW104" s="1">
        <v>5208000000</v>
      </c>
      <c r="BX104" s="1">
        <v>417500000</v>
      </c>
      <c r="BY104" s="1">
        <v>1666000000</v>
      </c>
      <c r="BZ104" s="1">
        <v>870300000</v>
      </c>
      <c r="CA104" s="1">
        <v>3560000000</v>
      </c>
      <c r="CB104">
        <v>286408</v>
      </c>
      <c r="CC104">
        <v>1138430</v>
      </c>
      <c r="CD104">
        <v>178266</v>
      </c>
      <c r="CE104">
        <v>711152</v>
      </c>
      <c r="CF104">
        <v>222310</v>
      </c>
      <c r="CG104">
        <v>908836</v>
      </c>
      <c r="CH104">
        <v>3</v>
      </c>
      <c r="CI104">
        <v>402</v>
      </c>
      <c r="CJ104">
        <v>478480</v>
      </c>
      <c r="CK104">
        <v>4980091</v>
      </c>
      <c r="CL104">
        <v>816</v>
      </c>
      <c r="CM104">
        <v>492625</v>
      </c>
      <c r="CN104">
        <v>4977029</v>
      </c>
      <c r="CO104">
        <v>25323.08</v>
      </c>
      <c r="CP104">
        <v>39782.879999999997</v>
      </c>
      <c r="CQ104">
        <v>25.323080000000001</v>
      </c>
      <c r="CR104">
        <v>39.782879999999999</v>
      </c>
      <c r="CS104">
        <f t="shared" si="3"/>
        <v>1099.4117647058824</v>
      </c>
    </row>
    <row r="105" spans="1:97">
      <c r="A105" t="s">
        <v>84</v>
      </c>
      <c r="B105" t="s">
        <v>163</v>
      </c>
      <c r="C105" t="s">
        <v>84</v>
      </c>
      <c r="D105">
        <v>197</v>
      </c>
      <c r="E105">
        <v>252</v>
      </c>
      <c r="F105">
        <v>77</v>
      </c>
      <c r="G105">
        <v>248</v>
      </c>
      <c r="H105">
        <v>317.32639999999998</v>
      </c>
      <c r="I105">
        <v>45938</v>
      </c>
      <c r="J105">
        <v>0.88</v>
      </c>
      <c r="K105">
        <v>72</v>
      </c>
      <c r="L105">
        <v>70</v>
      </c>
      <c r="M105">
        <v>59</v>
      </c>
      <c r="N105">
        <v>57</v>
      </c>
      <c r="O105">
        <v>118</v>
      </c>
      <c r="P105">
        <v>57</v>
      </c>
      <c r="Q105">
        <v>3</v>
      </c>
      <c r="R105">
        <v>2.7522899999999999E-2</v>
      </c>
      <c r="S105">
        <v>1.035088</v>
      </c>
      <c r="T105">
        <v>0.3575757</v>
      </c>
      <c r="U105">
        <v>0.1118362</v>
      </c>
      <c r="V105">
        <v>0.51308719999999997</v>
      </c>
      <c r="W105">
        <v>0.48691279999999998</v>
      </c>
      <c r="X105">
        <v>1.8484E-2</v>
      </c>
      <c r="Y105" s="2">
        <f t="shared" si="2"/>
        <v>18.484000000000002</v>
      </c>
      <c r="Z105">
        <v>6394951</v>
      </c>
      <c r="AA105">
        <v>3742788</v>
      </c>
      <c r="AB105">
        <v>11470</v>
      </c>
      <c r="AC105">
        <v>1.71</v>
      </c>
      <c r="AD105">
        <v>0.84</v>
      </c>
      <c r="AE105">
        <v>1.1599999999999999</v>
      </c>
      <c r="AF105">
        <v>0</v>
      </c>
      <c r="AG105">
        <v>876.89</v>
      </c>
      <c r="AH105">
        <v>5721.45</v>
      </c>
      <c r="AI105">
        <v>0</v>
      </c>
      <c r="AJ105">
        <v>6598</v>
      </c>
      <c r="AK105">
        <v>1</v>
      </c>
      <c r="AL105">
        <v>8</v>
      </c>
      <c r="AM105">
        <v>0</v>
      </c>
      <c r="AN105">
        <v>0</v>
      </c>
      <c r="AO105">
        <v>4</v>
      </c>
      <c r="AP105">
        <v>48</v>
      </c>
      <c r="AQ105">
        <v>0</v>
      </c>
      <c r="AR105">
        <v>0</v>
      </c>
      <c r="AS105">
        <v>6</v>
      </c>
      <c r="AT105">
        <v>1</v>
      </c>
      <c r="AU105">
        <v>0</v>
      </c>
      <c r="AV105">
        <v>0</v>
      </c>
      <c r="AW105">
        <v>877</v>
      </c>
      <c r="AX105">
        <v>4719</v>
      </c>
      <c r="AY105">
        <v>0</v>
      </c>
      <c r="AZ105">
        <v>0</v>
      </c>
      <c r="BA105">
        <v>991</v>
      </c>
      <c r="BB105">
        <v>12</v>
      </c>
      <c r="BC105">
        <v>5532</v>
      </c>
      <c r="BD105">
        <v>3</v>
      </c>
      <c r="BE105">
        <v>5323</v>
      </c>
      <c r="BF105">
        <v>43</v>
      </c>
      <c r="BG105">
        <v>1455</v>
      </c>
      <c r="BH105">
        <v>77</v>
      </c>
      <c r="BI105">
        <v>18.896100000000001</v>
      </c>
      <c r="BJ105">
        <v>30.59938</v>
      </c>
      <c r="BK105">
        <v>30.59938</v>
      </c>
      <c r="BL105">
        <v>30.59938</v>
      </c>
      <c r="BM105">
        <v>487284</v>
      </c>
      <c r="BN105">
        <v>4970465</v>
      </c>
      <c r="BO105">
        <v>23.93703</v>
      </c>
      <c r="BP105">
        <v>0.78152980000000005</v>
      </c>
      <c r="BQ105">
        <v>2.11224E-2</v>
      </c>
      <c r="BR105">
        <v>30.628430000000002</v>
      </c>
      <c r="BS105">
        <v>164456</v>
      </c>
      <c r="BT105">
        <v>64279.74</v>
      </c>
      <c r="BU105">
        <v>207030.9</v>
      </c>
      <c r="CH105">
        <v>1</v>
      </c>
      <c r="CI105">
        <v>402</v>
      </c>
      <c r="CJ105">
        <v>478480</v>
      </c>
      <c r="CK105">
        <v>4980091</v>
      </c>
      <c r="CL105">
        <v>816</v>
      </c>
      <c r="CM105">
        <v>492625</v>
      </c>
      <c r="CN105">
        <v>4977029</v>
      </c>
      <c r="CO105">
        <v>13045.28</v>
      </c>
      <c r="CP105">
        <v>8462.8169999999991</v>
      </c>
      <c r="CQ105">
        <v>13.04528</v>
      </c>
      <c r="CR105">
        <v>8.4628169999999994</v>
      </c>
      <c r="CS105">
        <f t="shared" si="3"/>
        <v>148.61403508771929</v>
      </c>
    </row>
    <row r="106" spans="1:97">
      <c r="A106" t="s">
        <v>85</v>
      </c>
      <c r="B106" t="s">
        <v>163</v>
      </c>
      <c r="C106" t="s">
        <v>85</v>
      </c>
      <c r="D106">
        <v>11434</v>
      </c>
      <c r="E106">
        <v>440</v>
      </c>
      <c r="F106">
        <v>209.15379999999999</v>
      </c>
      <c r="G106">
        <v>8479</v>
      </c>
      <c r="H106">
        <v>326.02940000000001</v>
      </c>
      <c r="I106">
        <v>81155</v>
      </c>
      <c r="J106">
        <v>0.9</v>
      </c>
      <c r="K106">
        <v>1019</v>
      </c>
      <c r="L106">
        <v>829</v>
      </c>
      <c r="M106">
        <v>875</v>
      </c>
      <c r="N106">
        <v>685</v>
      </c>
      <c r="O106">
        <v>1750</v>
      </c>
      <c r="P106">
        <v>685</v>
      </c>
      <c r="Q106">
        <v>191</v>
      </c>
      <c r="R106">
        <v>0.13992669999999999</v>
      </c>
      <c r="S106">
        <v>1.277372</v>
      </c>
      <c r="T106">
        <v>0.42703760000000002</v>
      </c>
      <c r="U106">
        <v>0.19250900000000001</v>
      </c>
      <c r="V106">
        <v>0.20205989999999999</v>
      </c>
      <c r="W106">
        <v>0.79794010000000004</v>
      </c>
      <c r="X106">
        <v>1.8680000000000001E-3</v>
      </c>
      <c r="Y106" s="2">
        <f t="shared" si="2"/>
        <v>1.8680000000000001</v>
      </c>
      <c r="Z106">
        <v>55353480</v>
      </c>
      <c r="AA106">
        <v>38950709</v>
      </c>
      <c r="AB106">
        <v>12350</v>
      </c>
      <c r="AC106">
        <v>1.42</v>
      </c>
      <c r="AD106">
        <v>0.92</v>
      </c>
      <c r="AE106">
        <v>1.1599999999999999</v>
      </c>
      <c r="AF106">
        <v>7.24</v>
      </c>
      <c r="AG106">
        <v>25883.84</v>
      </c>
      <c r="AH106">
        <v>142561.5</v>
      </c>
      <c r="AI106">
        <v>12200</v>
      </c>
      <c r="AJ106">
        <v>168445</v>
      </c>
      <c r="AK106">
        <v>26</v>
      </c>
      <c r="AL106">
        <v>6</v>
      </c>
      <c r="AM106">
        <v>26</v>
      </c>
      <c r="AN106">
        <v>0</v>
      </c>
      <c r="AO106">
        <v>61</v>
      </c>
      <c r="AP106">
        <v>737</v>
      </c>
      <c r="AQ106">
        <v>0</v>
      </c>
      <c r="AR106">
        <v>21</v>
      </c>
      <c r="AS106">
        <v>30</v>
      </c>
      <c r="AT106">
        <v>0</v>
      </c>
      <c r="AU106">
        <v>12200</v>
      </c>
      <c r="AV106">
        <v>0</v>
      </c>
      <c r="AW106">
        <v>13684</v>
      </c>
      <c r="AX106">
        <v>132028</v>
      </c>
      <c r="AY106">
        <v>0</v>
      </c>
      <c r="AZ106">
        <v>5076</v>
      </c>
      <c r="BA106">
        <v>5458</v>
      </c>
      <c r="BB106">
        <v>0</v>
      </c>
      <c r="BC106">
        <v>747640</v>
      </c>
      <c r="BD106">
        <v>84</v>
      </c>
      <c r="BE106">
        <v>754632</v>
      </c>
      <c r="BF106">
        <v>106</v>
      </c>
      <c r="BG106">
        <v>104985</v>
      </c>
      <c r="BH106">
        <v>5438</v>
      </c>
      <c r="BI106">
        <v>19.305810000000001</v>
      </c>
      <c r="BJ106">
        <v>28.876100000000001</v>
      </c>
      <c r="BK106">
        <v>28.876100000000001</v>
      </c>
      <c r="BL106">
        <v>28.876100000000001</v>
      </c>
      <c r="BM106">
        <v>488938.9</v>
      </c>
      <c r="BN106">
        <v>4969790</v>
      </c>
      <c r="BO106">
        <v>343.94639999999998</v>
      </c>
      <c r="BP106">
        <v>26.00686</v>
      </c>
      <c r="BQ106">
        <v>9.2222899999999997E-2</v>
      </c>
      <c r="BR106">
        <v>13.22522</v>
      </c>
      <c r="BS106">
        <v>369246.1</v>
      </c>
      <c r="BT106">
        <v>175613.1</v>
      </c>
      <c r="BU106">
        <v>273818.3</v>
      </c>
      <c r="BV106" s="1">
        <v>15820000000</v>
      </c>
      <c r="BW106" s="1">
        <v>27720000000</v>
      </c>
      <c r="BX106" s="1">
        <v>4378000000</v>
      </c>
      <c r="BY106" s="1">
        <v>7481000000</v>
      </c>
      <c r="BZ106" s="1">
        <v>9101000000</v>
      </c>
      <c r="CA106" s="1">
        <v>14100000000</v>
      </c>
      <c r="CB106">
        <v>1299624</v>
      </c>
      <c r="CC106">
        <v>2276205</v>
      </c>
      <c r="CD106">
        <v>719419</v>
      </c>
      <c r="CE106">
        <v>1229256</v>
      </c>
      <c r="CF106">
        <v>1015197</v>
      </c>
      <c r="CG106">
        <v>1573276</v>
      </c>
      <c r="CH106">
        <v>3</v>
      </c>
      <c r="CI106">
        <v>402</v>
      </c>
      <c r="CJ106">
        <v>478480</v>
      </c>
      <c r="CK106">
        <v>4980091</v>
      </c>
      <c r="CL106">
        <v>816</v>
      </c>
      <c r="CM106">
        <v>492625</v>
      </c>
      <c r="CN106">
        <v>4977029</v>
      </c>
      <c r="CO106">
        <v>14679.92</v>
      </c>
      <c r="CP106">
        <v>8123.4340000000002</v>
      </c>
      <c r="CQ106">
        <v>14.679919999999999</v>
      </c>
      <c r="CR106">
        <v>8.1234339999999996</v>
      </c>
      <c r="CS106">
        <f t="shared" si="3"/>
        <v>1769.3489051094891</v>
      </c>
    </row>
    <row r="107" spans="1:97">
      <c r="A107" t="s">
        <v>86</v>
      </c>
      <c r="B107" t="s">
        <v>163</v>
      </c>
      <c r="C107" t="s">
        <v>86</v>
      </c>
      <c r="D107">
        <v>135</v>
      </c>
      <c r="E107">
        <v>30</v>
      </c>
      <c r="F107">
        <v>15</v>
      </c>
      <c r="G107">
        <v>103</v>
      </c>
      <c r="H107">
        <v>22.890560000000001</v>
      </c>
      <c r="I107">
        <v>53750</v>
      </c>
      <c r="J107">
        <v>0.75</v>
      </c>
      <c r="K107">
        <v>17</v>
      </c>
      <c r="L107">
        <v>17</v>
      </c>
      <c r="M107">
        <v>16</v>
      </c>
      <c r="N107">
        <v>16</v>
      </c>
      <c r="O107">
        <v>32</v>
      </c>
      <c r="P107">
        <v>16</v>
      </c>
      <c r="Q107">
        <v>1</v>
      </c>
      <c r="R107">
        <v>3.7037E-2</v>
      </c>
      <c r="S107">
        <v>1</v>
      </c>
      <c r="T107">
        <v>0.38095240000000002</v>
      </c>
      <c r="U107">
        <v>0.35664319999999999</v>
      </c>
      <c r="V107">
        <v>0.90522380000000002</v>
      </c>
      <c r="W107">
        <v>9.4776200000000005E-2</v>
      </c>
      <c r="X107">
        <v>6.6667000000000004E-2</v>
      </c>
      <c r="Y107" s="2">
        <f t="shared" si="2"/>
        <v>66.667000000000002</v>
      </c>
      <c r="Z107">
        <v>12455872</v>
      </c>
      <c r="AA107">
        <v>10272199</v>
      </c>
      <c r="AB107">
        <v>12500</v>
      </c>
      <c r="AC107">
        <v>1.21</v>
      </c>
      <c r="AD107">
        <v>1.37</v>
      </c>
      <c r="AE107">
        <v>1.49</v>
      </c>
      <c r="AF107">
        <v>0</v>
      </c>
      <c r="AG107">
        <v>2408.5300000000002</v>
      </c>
      <c r="AH107">
        <v>3297.76</v>
      </c>
      <c r="AI107">
        <v>0</v>
      </c>
      <c r="AJ107">
        <v>5706</v>
      </c>
      <c r="AK107">
        <v>4</v>
      </c>
      <c r="AL107">
        <v>1</v>
      </c>
      <c r="AM107">
        <v>0</v>
      </c>
      <c r="AN107">
        <v>9</v>
      </c>
      <c r="AO107">
        <v>0</v>
      </c>
      <c r="AP107">
        <v>2</v>
      </c>
      <c r="AQ107">
        <v>0</v>
      </c>
      <c r="AR107">
        <v>0</v>
      </c>
      <c r="AS107">
        <v>5</v>
      </c>
      <c r="AT107">
        <v>0</v>
      </c>
      <c r="AU107">
        <v>0</v>
      </c>
      <c r="AV107">
        <v>2409</v>
      </c>
      <c r="AW107">
        <v>0</v>
      </c>
      <c r="AX107">
        <v>2294</v>
      </c>
      <c r="AY107">
        <v>0</v>
      </c>
      <c r="AZ107">
        <v>0</v>
      </c>
      <c r="BA107">
        <v>1004</v>
      </c>
      <c r="BB107">
        <v>0</v>
      </c>
      <c r="BC107">
        <v>12006</v>
      </c>
      <c r="BD107">
        <v>3</v>
      </c>
      <c r="BE107">
        <v>11732</v>
      </c>
      <c r="BF107">
        <v>140</v>
      </c>
      <c r="BG107">
        <v>1300</v>
      </c>
      <c r="BH107">
        <v>60</v>
      </c>
      <c r="BI107">
        <v>21.66667</v>
      </c>
      <c r="BJ107">
        <v>37.252650000000003</v>
      </c>
      <c r="BK107">
        <v>37.252650000000003</v>
      </c>
      <c r="BL107">
        <v>37.252650000000003</v>
      </c>
      <c r="BM107">
        <v>514317.7</v>
      </c>
      <c r="BN107">
        <v>4938424</v>
      </c>
      <c r="BO107">
        <v>21.76848</v>
      </c>
      <c r="BP107">
        <v>4.4996710000000002</v>
      </c>
      <c r="BQ107">
        <v>0.56245889999999998</v>
      </c>
      <c r="BR107">
        <v>4.8377939999999997</v>
      </c>
      <c r="BS107">
        <v>57601.46</v>
      </c>
      <c r="BT107">
        <v>25600.65</v>
      </c>
      <c r="BU107">
        <v>43947.78</v>
      </c>
      <c r="CH107">
        <v>1</v>
      </c>
      <c r="CI107">
        <v>402</v>
      </c>
      <c r="CJ107">
        <v>478480</v>
      </c>
      <c r="CK107">
        <v>4980091</v>
      </c>
      <c r="CL107">
        <v>816</v>
      </c>
      <c r="CM107">
        <v>492625</v>
      </c>
      <c r="CN107">
        <v>4977029</v>
      </c>
      <c r="CO107">
        <v>54958.879999999997</v>
      </c>
      <c r="CP107">
        <v>44282.26</v>
      </c>
      <c r="CQ107">
        <v>54.958880000000001</v>
      </c>
      <c r="CR107">
        <v>44.282260000000001</v>
      </c>
      <c r="CS107">
        <f t="shared" si="3"/>
        <v>1181.25</v>
      </c>
    </row>
    <row r="108" spans="1:97">
      <c r="A108" t="s">
        <v>87</v>
      </c>
      <c r="B108" t="s">
        <v>182</v>
      </c>
      <c r="C108" t="s">
        <v>87</v>
      </c>
      <c r="D108">
        <v>382618</v>
      </c>
      <c r="E108">
        <v>2536</v>
      </c>
      <c r="F108">
        <v>1304.7349999999999</v>
      </c>
      <c r="G108">
        <v>308758</v>
      </c>
      <c r="H108">
        <v>2046.067</v>
      </c>
      <c r="I108">
        <v>37974</v>
      </c>
      <c r="J108">
        <v>0.67</v>
      </c>
      <c r="K108">
        <v>14428</v>
      </c>
      <c r="L108">
        <v>8746</v>
      </c>
      <c r="M108">
        <v>13264</v>
      </c>
      <c r="N108">
        <v>7582</v>
      </c>
      <c r="O108">
        <v>26528</v>
      </c>
      <c r="P108">
        <v>7582</v>
      </c>
      <c r="Q108">
        <v>5683</v>
      </c>
      <c r="R108">
        <v>0.37489280000000003</v>
      </c>
      <c r="S108">
        <v>1.749406</v>
      </c>
      <c r="T108">
        <v>0.58328939999999996</v>
      </c>
      <c r="U108">
        <v>0.14088990000000001</v>
      </c>
      <c r="V108">
        <v>2.9838900000000002E-2</v>
      </c>
      <c r="W108">
        <v>0.9701611</v>
      </c>
      <c r="X108">
        <v>2.31E-4</v>
      </c>
      <c r="Y108" s="2">
        <f t="shared" si="2"/>
        <v>0.23100000000000001</v>
      </c>
      <c r="Z108">
        <v>98776064</v>
      </c>
      <c r="AA108">
        <v>85420056</v>
      </c>
      <c r="AB108">
        <v>12500</v>
      </c>
      <c r="AC108">
        <v>1.1599999999999999</v>
      </c>
      <c r="AD108">
        <v>0.49</v>
      </c>
      <c r="AE108">
        <v>0.53</v>
      </c>
      <c r="AF108">
        <v>2.82</v>
      </c>
      <c r="AG108">
        <v>89491.86</v>
      </c>
      <c r="AH108">
        <v>1779271</v>
      </c>
      <c r="AI108">
        <v>52615</v>
      </c>
      <c r="AJ108">
        <v>1868763</v>
      </c>
      <c r="AK108">
        <v>151</v>
      </c>
      <c r="AL108">
        <v>12</v>
      </c>
      <c r="AM108">
        <v>288</v>
      </c>
      <c r="AN108">
        <v>104</v>
      </c>
      <c r="AO108">
        <v>162</v>
      </c>
      <c r="AP108">
        <v>12381</v>
      </c>
      <c r="AQ108">
        <v>0</v>
      </c>
      <c r="AR108">
        <v>307</v>
      </c>
      <c r="AS108">
        <v>22</v>
      </c>
      <c r="AT108">
        <v>0</v>
      </c>
      <c r="AU108">
        <v>52615</v>
      </c>
      <c r="AV108">
        <v>12443</v>
      </c>
      <c r="AW108">
        <v>24434</v>
      </c>
      <c r="AX108">
        <v>1728131</v>
      </c>
      <c r="AY108">
        <v>0</v>
      </c>
      <c r="AZ108">
        <v>49011</v>
      </c>
      <c r="BA108">
        <v>2129</v>
      </c>
      <c r="BB108">
        <v>0</v>
      </c>
      <c r="BC108">
        <v>6891841</v>
      </c>
      <c r="BE108">
        <v>6838040</v>
      </c>
      <c r="BF108">
        <v>29</v>
      </c>
      <c r="BG108">
        <v>4279480</v>
      </c>
      <c r="BH108">
        <v>197015</v>
      </c>
      <c r="BI108">
        <v>21.721589999999999</v>
      </c>
      <c r="BJ108">
        <v>26.365549999999999</v>
      </c>
      <c r="BK108">
        <v>26.365549999999999</v>
      </c>
      <c r="BL108">
        <v>26.365549999999999</v>
      </c>
      <c r="BM108">
        <v>478917.9</v>
      </c>
      <c r="BN108">
        <v>4978826</v>
      </c>
      <c r="BO108">
        <v>3957.3580000000002</v>
      </c>
      <c r="BP108">
        <v>150.9032</v>
      </c>
      <c r="BQ108">
        <v>2.49716E-2</v>
      </c>
      <c r="BR108">
        <v>26.22448</v>
      </c>
      <c r="BS108">
        <v>2681295</v>
      </c>
      <c r="BT108">
        <v>1380634</v>
      </c>
      <c r="BU108">
        <v>2163702</v>
      </c>
      <c r="BV108" s="1">
        <v>530000000000</v>
      </c>
      <c r="BW108" s="1">
        <v>956600000000</v>
      </c>
      <c r="BX108" s="1">
        <v>159700000000</v>
      </c>
      <c r="BY108" s="1">
        <v>278500000000</v>
      </c>
      <c r="BZ108" s="1">
        <v>387100000000</v>
      </c>
      <c r="CA108" s="1">
        <v>517000000000</v>
      </c>
      <c r="CB108">
        <v>1388004</v>
      </c>
      <c r="CC108">
        <v>2505275</v>
      </c>
      <c r="CD108">
        <v>784003</v>
      </c>
      <c r="CE108">
        <v>1367083</v>
      </c>
      <c r="CF108">
        <v>1259700</v>
      </c>
      <c r="CG108">
        <v>1682888</v>
      </c>
      <c r="CH108">
        <v>3</v>
      </c>
      <c r="CI108">
        <v>402</v>
      </c>
      <c r="CJ108">
        <v>478480</v>
      </c>
      <c r="CK108">
        <v>4980091</v>
      </c>
      <c r="CL108">
        <v>816</v>
      </c>
      <c r="CM108">
        <v>492625</v>
      </c>
      <c r="CN108">
        <v>4977029</v>
      </c>
      <c r="CO108">
        <v>1339.134</v>
      </c>
      <c r="CP108">
        <v>13824.29</v>
      </c>
      <c r="CQ108">
        <v>1.339134</v>
      </c>
      <c r="CR108">
        <v>13.82429</v>
      </c>
      <c r="CS108">
        <f t="shared" si="3"/>
        <v>1463.4558164072805</v>
      </c>
    </row>
    <row r="109" spans="1:97">
      <c r="A109" t="s">
        <v>88</v>
      </c>
      <c r="B109" t="s">
        <v>182</v>
      </c>
      <c r="C109" t="s">
        <v>88</v>
      </c>
      <c r="D109">
        <v>614</v>
      </c>
      <c r="E109">
        <v>155</v>
      </c>
      <c r="F109">
        <v>69.75</v>
      </c>
      <c r="G109">
        <v>202</v>
      </c>
      <c r="H109">
        <v>50.859859999999998</v>
      </c>
      <c r="I109">
        <v>150912</v>
      </c>
      <c r="J109">
        <v>0.92</v>
      </c>
      <c r="K109">
        <v>58</v>
      </c>
      <c r="L109">
        <v>50</v>
      </c>
      <c r="M109">
        <v>53</v>
      </c>
      <c r="N109">
        <v>45</v>
      </c>
      <c r="O109">
        <v>106</v>
      </c>
      <c r="P109">
        <v>45</v>
      </c>
      <c r="Q109">
        <v>9</v>
      </c>
      <c r="R109">
        <v>0.1058824</v>
      </c>
      <c r="S109">
        <v>1.177778</v>
      </c>
      <c r="T109">
        <v>0.41085270000000002</v>
      </c>
      <c r="U109">
        <v>0.20716960000000001</v>
      </c>
      <c r="V109">
        <v>0.38018390000000002</v>
      </c>
      <c r="W109">
        <v>0.61981609999999998</v>
      </c>
      <c r="X109">
        <v>2.6768E-2</v>
      </c>
      <c r="Y109" s="2">
        <f t="shared" si="2"/>
        <v>26.768000000000001</v>
      </c>
      <c r="Z109">
        <v>14210846</v>
      </c>
      <c r="AA109">
        <v>10808760</v>
      </c>
      <c r="AB109">
        <v>12500</v>
      </c>
      <c r="AC109">
        <v>1.31</v>
      </c>
      <c r="AD109">
        <v>0.23</v>
      </c>
      <c r="AE109">
        <v>0.12</v>
      </c>
      <c r="AF109">
        <v>0</v>
      </c>
      <c r="AG109">
        <v>0</v>
      </c>
      <c r="AH109">
        <v>10979.99</v>
      </c>
      <c r="AI109">
        <v>0</v>
      </c>
      <c r="AJ109">
        <v>10980</v>
      </c>
      <c r="AK109">
        <v>4</v>
      </c>
      <c r="AL109">
        <v>3</v>
      </c>
      <c r="AM109">
        <v>0</v>
      </c>
      <c r="AN109">
        <v>0</v>
      </c>
      <c r="AO109">
        <v>0</v>
      </c>
      <c r="AP109">
        <v>51</v>
      </c>
      <c r="AQ109">
        <v>0</v>
      </c>
      <c r="AR109">
        <v>0</v>
      </c>
      <c r="AS109">
        <v>2</v>
      </c>
      <c r="AT109">
        <v>0</v>
      </c>
      <c r="AU109">
        <v>0</v>
      </c>
      <c r="AV109">
        <v>0</v>
      </c>
      <c r="AW109">
        <v>0</v>
      </c>
      <c r="AX109">
        <v>10808</v>
      </c>
      <c r="AY109">
        <v>0</v>
      </c>
      <c r="AZ109">
        <v>0</v>
      </c>
      <c r="BA109">
        <v>172</v>
      </c>
      <c r="BB109">
        <v>0</v>
      </c>
      <c r="BC109">
        <v>32040</v>
      </c>
      <c r="BD109">
        <v>7</v>
      </c>
      <c r="BE109">
        <v>32040</v>
      </c>
      <c r="BF109">
        <v>84</v>
      </c>
      <c r="BG109">
        <v>6765</v>
      </c>
      <c r="BH109">
        <v>279</v>
      </c>
      <c r="BI109">
        <v>24.247309999999999</v>
      </c>
      <c r="BJ109">
        <v>25.41949</v>
      </c>
      <c r="BK109">
        <v>25.41949</v>
      </c>
      <c r="BL109">
        <v>25.41949</v>
      </c>
      <c r="BM109">
        <v>453727.7</v>
      </c>
      <c r="BN109">
        <v>4976288</v>
      </c>
      <c r="BO109">
        <v>50.677779999999998</v>
      </c>
      <c r="BP109">
        <v>3.971698</v>
      </c>
      <c r="BQ109">
        <v>0.1241155</v>
      </c>
      <c r="BR109">
        <v>12.759729999999999</v>
      </c>
      <c r="BS109">
        <v>117550.7</v>
      </c>
      <c r="BT109">
        <v>53414.73</v>
      </c>
      <c r="BU109">
        <v>38673.040000000001</v>
      </c>
      <c r="BV109" s="1">
        <v>201900000</v>
      </c>
      <c r="BW109" s="1">
        <v>801600000</v>
      </c>
      <c r="BX109" s="1">
        <v>103200000</v>
      </c>
      <c r="BY109" s="1">
        <v>390200000</v>
      </c>
      <c r="BZ109">
        <v>32646126</v>
      </c>
      <c r="CA109" s="1">
        <v>211000000</v>
      </c>
      <c r="CB109">
        <v>217518</v>
      </c>
      <c r="CC109">
        <v>863841</v>
      </c>
      <c r="CD109">
        <v>197858</v>
      </c>
      <c r="CE109">
        <v>748303</v>
      </c>
      <c r="CF109">
        <v>112186</v>
      </c>
      <c r="CG109">
        <v>723563</v>
      </c>
      <c r="CH109">
        <v>3</v>
      </c>
      <c r="CI109">
        <v>402</v>
      </c>
      <c r="CJ109">
        <v>478480</v>
      </c>
      <c r="CK109">
        <v>4980091</v>
      </c>
      <c r="CL109">
        <v>816</v>
      </c>
      <c r="CM109">
        <v>492625</v>
      </c>
      <c r="CN109">
        <v>4977029</v>
      </c>
      <c r="CO109">
        <v>25042.76</v>
      </c>
      <c r="CP109">
        <v>38904.370000000003</v>
      </c>
      <c r="CQ109">
        <v>25.042760000000001</v>
      </c>
      <c r="CR109">
        <v>38.90437</v>
      </c>
      <c r="CS109">
        <f t="shared" si="3"/>
        <v>1146.1333333333334</v>
      </c>
    </row>
    <row r="110" spans="1:97">
      <c r="A110" t="s">
        <v>89</v>
      </c>
      <c r="B110" t="s">
        <v>182</v>
      </c>
      <c r="C110" t="s">
        <v>89</v>
      </c>
      <c r="D110">
        <v>51301</v>
      </c>
      <c r="E110">
        <v>708</v>
      </c>
      <c r="F110">
        <v>381.31950000000001</v>
      </c>
      <c r="G110">
        <v>51311</v>
      </c>
      <c r="H110">
        <v>708.35919999999999</v>
      </c>
      <c r="I110">
        <v>69979</v>
      </c>
      <c r="J110">
        <v>0.87</v>
      </c>
      <c r="K110">
        <v>3103</v>
      </c>
      <c r="L110">
        <v>2581</v>
      </c>
      <c r="M110">
        <v>2722</v>
      </c>
      <c r="N110">
        <v>2200</v>
      </c>
      <c r="O110">
        <v>5444</v>
      </c>
      <c r="P110">
        <v>2200</v>
      </c>
      <c r="Q110">
        <v>523</v>
      </c>
      <c r="R110">
        <v>0.1189989</v>
      </c>
      <c r="S110">
        <v>1.2372730000000001</v>
      </c>
      <c r="T110">
        <v>0.41279949999999999</v>
      </c>
      <c r="U110">
        <v>0.1905039</v>
      </c>
      <c r="V110">
        <v>0.24766369999999999</v>
      </c>
      <c r="W110">
        <v>0.75233629999999996</v>
      </c>
      <c r="X110">
        <v>5.6300000000000002E-4</v>
      </c>
      <c r="Y110" s="2">
        <f t="shared" si="2"/>
        <v>0.56300000000000006</v>
      </c>
      <c r="Z110">
        <v>75272509</v>
      </c>
      <c r="AA110">
        <v>56328669</v>
      </c>
      <c r="AB110">
        <v>12450</v>
      </c>
      <c r="AC110">
        <v>1.34</v>
      </c>
      <c r="AD110">
        <v>0.44</v>
      </c>
      <c r="AE110">
        <v>0.66</v>
      </c>
      <c r="AF110">
        <v>4.57</v>
      </c>
      <c r="AG110">
        <v>32468.7</v>
      </c>
      <c r="AH110">
        <v>486083</v>
      </c>
      <c r="AI110">
        <v>23703</v>
      </c>
      <c r="AJ110">
        <v>518552</v>
      </c>
      <c r="AK110">
        <v>72</v>
      </c>
      <c r="AL110">
        <v>7</v>
      </c>
      <c r="AM110">
        <v>66</v>
      </c>
      <c r="AN110">
        <v>0</v>
      </c>
      <c r="AO110">
        <v>31</v>
      </c>
      <c r="AP110">
        <v>2555</v>
      </c>
      <c r="AQ110">
        <v>0</v>
      </c>
      <c r="AR110">
        <v>63</v>
      </c>
      <c r="AS110">
        <v>7</v>
      </c>
      <c r="AT110">
        <v>0</v>
      </c>
      <c r="AU110">
        <v>23703</v>
      </c>
      <c r="AV110">
        <v>0</v>
      </c>
      <c r="AW110">
        <v>8765</v>
      </c>
      <c r="AX110">
        <v>465381</v>
      </c>
      <c r="AY110">
        <v>0</v>
      </c>
      <c r="AZ110">
        <v>16224</v>
      </c>
      <c r="BA110">
        <v>4478</v>
      </c>
      <c r="BB110">
        <v>0</v>
      </c>
      <c r="BC110">
        <v>1916089</v>
      </c>
      <c r="BD110">
        <v>292</v>
      </c>
      <c r="BE110">
        <v>1911636</v>
      </c>
      <c r="BF110">
        <v>60</v>
      </c>
      <c r="BG110">
        <v>573990</v>
      </c>
      <c r="BH110">
        <v>27455</v>
      </c>
      <c r="BI110">
        <v>20.906569999999999</v>
      </c>
      <c r="BJ110">
        <v>25.800789999999999</v>
      </c>
      <c r="BK110">
        <v>25.800789999999999</v>
      </c>
      <c r="BL110">
        <v>25.800789999999999</v>
      </c>
      <c r="BM110">
        <v>463716.4</v>
      </c>
      <c r="BN110">
        <v>4975515</v>
      </c>
      <c r="BO110">
        <v>979.10979999999995</v>
      </c>
      <c r="BP110">
        <v>72.436419999999998</v>
      </c>
      <c r="BQ110">
        <v>9.8019499999999996E-2</v>
      </c>
      <c r="BR110">
        <v>13.516819999999999</v>
      </c>
      <c r="BS110">
        <v>537042.4</v>
      </c>
      <c r="BT110">
        <v>287411.5</v>
      </c>
      <c r="BU110">
        <v>537147.1</v>
      </c>
      <c r="BV110" s="1">
        <v>49640000000</v>
      </c>
      <c r="BW110" s="1">
        <v>112100000000</v>
      </c>
      <c r="BX110" s="1">
        <v>17520000000</v>
      </c>
      <c r="BY110" s="1">
        <v>35910000000</v>
      </c>
      <c r="BZ110" s="1">
        <v>42150000000</v>
      </c>
      <c r="CA110" s="1">
        <v>76200000000</v>
      </c>
      <c r="CB110">
        <v>940175</v>
      </c>
      <c r="CC110">
        <v>2122604</v>
      </c>
      <c r="CD110">
        <v>586980</v>
      </c>
      <c r="CE110">
        <v>1203232</v>
      </c>
      <c r="CF110">
        <v>853624</v>
      </c>
      <c r="CG110">
        <v>1543429</v>
      </c>
      <c r="CH110">
        <v>3</v>
      </c>
      <c r="CI110">
        <v>402</v>
      </c>
      <c r="CJ110">
        <v>478480</v>
      </c>
      <c r="CK110">
        <v>4980091</v>
      </c>
      <c r="CL110">
        <v>816</v>
      </c>
      <c r="CM110">
        <v>492625</v>
      </c>
      <c r="CN110">
        <v>4977029</v>
      </c>
      <c r="CO110">
        <v>15456.47</v>
      </c>
      <c r="CP110">
        <v>28948.18</v>
      </c>
      <c r="CQ110">
        <v>15.456469999999999</v>
      </c>
      <c r="CR110">
        <v>28.948180000000001</v>
      </c>
      <c r="CS110">
        <f t="shared" si="3"/>
        <v>1399.1181818181817</v>
      </c>
    </row>
    <row r="111" spans="1:97">
      <c r="A111" t="s">
        <v>90</v>
      </c>
      <c r="B111" t="s">
        <v>182</v>
      </c>
      <c r="C111" t="s">
        <v>90</v>
      </c>
      <c r="D111">
        <v>4358</v>
      </c>
      <c r="E111">
        <v>54</v>
      </c>
      <c r="F111">
        <v>26.35</v>
      </c>
      <c r="G111">
        <v>362</v>
      </c>
      <c r="H111">
        <v>4.5165829999999998</v>
      </c>
      <c r="I111">
        <v>90347</v>
      </c>
      <c r="J111">
        <v>0.83</v>
      </c>
      <c r="K111">
        <v>422</v>
      </c>
      <c r="L111">
        <v>398</v>
      </c>
      <c r="M111">
        <v>330</v>
      </c>
      <c r="N111">
        <v>306</v>
      </c>
      <c r="O111">
        <v>660</v>
      </c>
      <c r="P111">
        <v>306</v>
      </c>
      <c r="Q111">
        <v>25</v>
      </c>
      <c r="R111">
        <v>4.1186199999999999E-2</v>
      </c>
      <c r="S111">
        <v>1.0784309999999999</v>
      </c>
      <c r="T111">
        <v>0.3618421</v>
      </c>
      <c r="U111">
        <v>0.437942</v>
      </c>
      <c r="V111">
        <v>0.53742760000000001</v>
      </c>
      <c r="W111">
        <v>0.46257239999999999</v>
      </c>
      <c r="X111">
        <v>3.5360000000000001E-3</v>
      </c>
      <c r="Y111" s="2">
        <f t="shared" si="2"/>
        <v>3.536</v>
      </c>
      <c r="Z111">
        <v>50053771</v>
      </c>
      <c r="AA111">
        <v>28584059</v>
      </c>
      <c r="AB111">
        <v>6961</v>
      </c>
      <c r="AC111">
        <v>1.75</v>
      </c>
      <c r="AD111">
        <v>0.42</v>
      </c>
      <c r="AE111">
        <v>0.47</v>
      </c>
      <c r="AF111">
        <v>0</v>
      </c>
      <c r="AG111">
        <v>8386.4</v>
      </c>
      <c r="AH111">
        <v>136134.5</v>
      </c>
      <c r="AI111">
        <v>0</v>
      </c>
      <c r="AJ111">
        <v>144521</v>
      </c>
      <c r="AK111">
        <v>80</v>
      </c>
      <c r="AL111">
        <v>2</v>
      </c>
      <c r="AM111">
        <v>0</v>
      </c>
      <c r="AN111">
        <v>0</v>
      </c>
      <c r="AO111">
        <v>25</v>
      </c>
      <c r="AP111">
        <v>304</v>
      </c>
      <c r="AQ111">
        <v>1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8386</v>
      </c>
      <c r="AX111">
        <v>133035</v>
      </c>
      <c r="AY111">
        <v>3100</v>
      </c>
      <c r="AZ111">
        <v>0</v>
      </c>
      <c r="BA111">
        <v>0</v>
      </c>
      <c r="BB111">
        <v>0</v>
      </c>
      <c r="BC111">
        <v>149746</v>
      </c>
      <c r="BD111">
        <v>73</v>
      </c>
      <c r="BE111">
        <v>149158</v>
      </c>
      <c r="BF111">
        <v>55</v>
      </c>
      <c r="BG111">
        <v>63350</v>
      </c>
      <c r="BH111">
        <v>2108</v>
      </c>
      <c r="BI111">
        <v>30.05218</v>
      </c>
      <c r="BJ111">
        <v>26.528300000000002</v>
      </c>
      <c r="BK111">
        <v>26.528300000000002</v>
      </c>
      <c r="BL111">
        <v>26.528300000000002</v>
      </c>
      <c r="BM111">
        <v>443923.3</v>
      </c>
      <c r="BN111">
        <v>4976047</v>
      </c>
      <c r="BO111">
        <v>455.08640000000003</v>
      </c>
      <c r="BP111">
        <v>80.149079999999998</v>
      </c>
      <c r="BQ111">
        <v>0.47146510000000003</v>
      </c>
      <c r="BR111">
        <v>5.6779989999999998</v>
      </c>
      <c r="BS111">
        <v>25384.54</v>
      </c>
      <c r="BT111">
        <v>12278.71</v>
      </c>
      <c r="BU111">
        <v>2108.5830000000001</v>
      </c>
      <c r="BV111" s="1">
        <v>1978000000</v>
      </c>
      <c r="BW111" s="1">
        <v>7758000000</v>
      </c>
      <c r="BX111" s="1">
        <v>655200000</v>
      </c>
      <c r="BY111" s="1">
        <v>3124000000</v>
      </c>
      <c r="BZ111" s="1">
        <v>156800000</v>
      </c>
      <c r="CA111" s="1">
        <v>1030000000</v>
      </c>
      <c r="CB111">
        <v>173725</v>
      </c>
      <c r="CC111">
        <v>681262</v>
      </c>
      <c r="CD111">
        <v>100930</v>
      </c>
      <c r="CE111">
        <v>481152</v>
      </c>
      <c r="CF111">
        <v>80569</v>
      </c>
      <c r="CG111">
        <v>531000</v>
      </c>
      <c r="CH111">
        <v>3</v>
      </c>
      <c r="CI111">
        <v>402</v>
      </c>
      <c r="CJ111">
        <v>478480</v>
      </c>
      <c r="CK111">
        <v>4980091</v>
      </c>
      <c r="CL111">
        <v>816</v>
      </c>
      <c r="CM111">
        <v>492625</v>
      </c>
      <c r="CN111">
        <v>4977029</v>
      </c>
      <c r="CO111">
        <v>34792.54</v>
      </c>
      <c r="CP111">
        <v>48711.62</v>
      </c>
      <c r="CQ111">
        <v>34.792540000000002</v>
      </c>
      <c r="CR111">
        <v>48.711620000000003</v>
      </c>
      <c r="CS111">
        <f t="shared" si="3"/>
        <v>783.30065359477123</v>
      </c>
    </row>
    <row r="112" spans="1:97">
      <c r="A112" t="s">
        <v>91</v>
      </c>
      <c r="B112" t="s">
        <v>182</v>
      </c>
      <c r="C112" t="s">
        <v>91</v>
      </c>
      <c r="D112">
        <v>9435</v>
      </c>
      <c r="E112">
        <v>719</v>
      </c>
      <c r="F112">
        <v>421.23079999999999</v>
      </c>
      <c r="G112">
        <v>1723</v>
      </c>
      <c r="H112">
        <v>131.33160000000001</v>
      </c>
      <c r="I112">
        <v>60671</v>
      </c>
      <c r="J112">
        <v>0.88</v>
      </c>
      <c r="K112">
        <v>750</v>
      </c>
      <c r="L112">
        <v>606</v>
      </c>
      <c r="M112">
        <v>650</v>
      </c>
      <c r="N112">
        <v>506</v>
      </c>
      <c r="O112">
        <v>1300</v>
      </c>
      <c r="P112">
        <v>506</v>
      </c>
      <c r="Q112">
        <v>145</v>
      </c>
      <c r="R112">
        <v>0.14399210000000001</v>
      </c>
      <c r="S112">
        <v>1.2845850000000001</v>
      </c>
      <c r="T112">
        <v>0.4298942</v>
      </c>
      <c r="U112">
        <v>0.1235676</v>
      </c>
      <c r="V112">
        <v>0.25292520000000002</v>
      </c>
      <c r="W112">
        <v>0.74707480000000004</v>
      </c>
      <c r="X112">
        <v>2.5439999999999998E-3</v>
      </c>
      <c r="Y112" s="2">
        <f t="shared" si="2"/>
        <v>2.544</v>
      </c>
      <c r="Z112">
        <v>35475952</v>
      </c>
      <c r="AA112">
        <v>23698354</v>
      </c>
      <c r="AB112">
        <v>12500</v>
      </c>
      <c r="AC112">
        <v>1.5</v>
      </c>
      <c r="AD112">
        <v>0</v>
      </c>
      <c r="AE112">
        <v>0</v>
      </c>
      <c r="AF112">
        <v>0</v>
      </c>
      <c r="AG112">
        <v>0</v>
      </c>
      <c r="AH112">
        <v>80318.94</v>
      </c>
      <c r="AI112">
        <v>0</v>
      </c>
      <c r="AJ112">
        <v>80319</v>
      </c>
      <c r="AK112">
        <v>13</v>
      </c>
      <c r="AL112">
        <v>6</v>
      </c>
      <c r="AM112">
        <v>0</v>
      </c>
      <c r="AN112">
        <v>0</v>
      </c>
      <c r="AO112">
        <v>0</v>
      </c>
      <c r="AP112">
        <v>650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80319</v>
      </c>
      <c r="AY112">
        <v>0</v>
      </c>
      <c r="AZ112">
        <v>0</v>
      </c>
      <c r="BA112">
        <v>0</v>
      </c>
      <c r="BB112">
        <v>0</v>
      </c>
      <c r="BC112">
        <v>75808</v>
      </c>
      <c r="BD112">
        <v>49</v>
      </c>
      <c r="BE112">
        <v>73133</v>
      </c>
      <c r="BF112">
        <v>12</v>
      </c>
      <c r="BG112">
        <v>163845</v>
      </c>
      <c r="BH112">
        <v>5476</v>
      </c>
      <c r="BI112">
        <v>29.920559999999998</v>
      </c>
      <c r="BJ112">
        <v>26.2409</v>
      </c>
      <c r="BK112">
        <v>26.2409</v>
      </c>
      <c r="BL112">
        <v>26.2409</v>
      </c>
      <c r="BM112">
        <v>447991.2</v>
      </c>
      <c r="BN112">
        <v>4975693</v>
      </c>
      <c r="BO112">
        <v>254.1096</v>
      </c>
      <c r="BP112">
        <v>13.11946</v>
      </c>
      <c r="BQ112">
        <v>5.4893200000000003E-2</v>
      </c>
      <c r="BR112">
        <v>19.3689</v>
      </c>
      <c r="BS112">
        <v>449509.9</v>
      </c>
      <c r="BT112">
        <v>260892</v>
      </c>
      <c r="BU112">
        <v>82088.55</v>
      </c>
      <c r="BV112" s="1">
        <v>224200000</v>
      </c>
      <c r="BW112" s="1">
        <v>868200000</v>
      </c>
      <c r="BX112">
        <v>75989346</v>
      </c>
      <c r="BY112" s="1">
        <v>354700000</v>
      </c>
      <c r="BZ112">
        <v>43145970</v>
      </c>
      <c r="CA112" s="1">
        <v>291000000</v>
      </c>
      <c r="CB112">
        <v>182442</v>
      </c>
      <c r="CC112">
        <v>706440</v>
      </c>
      <c r="CD112">
        <v>111501</v>
      </c>
      <c r="CE112">
        <v>520498</v>
      </c>
      <c r="CF112">
        <v>88053</v>
      </c>
      <c r="CG112">
        <v>594708</v>
      </c>
      <c r="CH112">
        <v>3</v>
      </c>
      <c r="CI112">
        <v>402</v>
      </c>
      <c r="CJ112">
        <v>478480</v>
      </c>
      <c r="CK112">
        <v>4980091</v>
      </c>
      <c r="CL112">
        <v>816</v>
      </c>
      <c r="CM112">
        <v>492625</v>
      </c>
      <c r="CN112">
        <v>4977029</v>
      </c>
      <c r="CO112">
        <v>30804.49</v>
      </c>
      <c r="CP112">
        <v>44653.85</v>
      </c>
      <c r="CQ112">
        <v>30.804490000000001</v>
      </c>
      <c r="CR112">
        <v>44.653849999999998</v>
      </c>
      <c r="CS112">
        <f t="shared" si="3"/>
        <v>223.75494071146244</v>
      </c>
    </row>
    <row r="113" spans="1:97">
      <c r="A113" t="s">
        <v>92</v>
      </c>
      <c r="B113" t="s">
        <v>165</v>
      </c>
      <c r="C113" t="s">
        <v>92</v>
      </c>
      <c r="D113">
        <v>12738</v>
      </c>
      <c r="E113">
        <v>1196</v>
      </c>
      <c r="F113">
        <v>642.63639999999998</v>
      </c>
      <c r="G113">
        <v>4169</v>
      </c>
      <c r="H113">
        <v>391.43279999999999</v>
      </c>
      <c r="I113">
        <v>51974</v>
      </c>
      <c r="J113">
        <v>0.88</v>
      </c>
      <c r="K113">
        <v>542</v>
      </c>
      <c r="L113">
        <v>369</v>
      </c>
      <c r="M113">
        <v>500</v>
      </c>
      <c r="N113">
        <v>327</v>
      </c>
      <c r="O113">
        <v>1000</v>
      </c>
      <c r="P113">
        <v>327</v>
      </c>
      <c r="Q113">
        <v>174</v>
      </c>
      <c r="R113">
        <v>0.26810479999999998</v>
      </c>
      <c r="S113">
        <v>1.5290520000000001</v>
      </c>
      <c r="T113">
        <v>0.51282050000000001</v>
      </c>
      <c r="U113">
        <v>0.2022159</v>
      </c>
      <c r="V113">
        <v>7.1214299999999994E-2</v>
      </c>
      <c r="W113">
        <v>0.92878570000000005</v>
      </c>
      <c r="X113">
        <v>4.6899999999999997E-3</v>
      </c>
      <c r="Y113" s="2">
        <f t="shared" si="2"/>
        <v>4.6899999999999995</v>
      </c>
      <c r="Z113">
        <v>30069565</v>
      </c>
      <c r="AA113">
        <v>22547034</v>
      </c>
      <c r="AB113">
        <v>12500</v>
      </c>
      <c r="AC113">
        <v>1.33</v>
      </c>
      <c r="AD113">
        <v>0.59</v>
      </c>
      <c r="AE113">
        <v>0.67</v>
      </c>
      <c r="AF113">
        <v>3.59</v>
      </c>
      <c r="AG113">
        <v>8080.31</v>
      </c>
      <c r="AH113">
        <v>93027.65</v>
      </c>
      <c r="AI113">
        <v>3628</v>
      </c>
      <c r="AJ113">
        <v>101108</v>
      </c>
      <c r="AK113">
        <v>11</v>
      </c>
      <c r="AL113">
        <v>9</v>
      </c>
      <c r="AM113">
        <v>14</v>
      </c>
      <c r="AN113">
        <v>18</v>
      </c>
      <c r="AO113">
        <v>0</v>
      </c>
      <c r="AP113">
        <v>454</v>
      </c>
      <c r="AQ113">
        <v>0</v>
      </c>
      <c r="AR113">
        <v>14</v>
      </c>
      <c r="AS113">
        <v>0</v>
      </c>
      <c r="AT113">
        <v>0</v>
      </c>
      <c r="AU113">
        <v>3628</v>
      </c>
      <c r="AV113">
        <v>4453</v>
      </c>
      <c r="AW113">
        <v>0</v>
      </c>
      <c r="AX113">
        <v>90022</v>
      </c>
      <c r="AY113">
        <v>0</v>
      </c>
      <c r="AZ113">
        <v>3006</v>
      </c>
      <c r="BA113">
        <v>0</v>
      </c>
      <c r="BB113">
        <v>0</v>
      </c>
      <c r="BC113">
        <v>231947</v>
      </c>
      <c r="BD113">
        <v>49</v>
      </c>
      <c r="BE113">
        <v>212662</v>
      </c>
      <c r="BF113">
        <v>27</v>
      </c>
      <c r="BG113">
        <v>159375</v>
      </c>
      <c r="BH113">
        <v>7069</v>
      </c>
      <c r="BI113">
        <v>22.54562</v>
      </c>
      <c r="BJ113">
        <v>27.06653</v>
      </c>
      <c r="BK113">
        <v>27.06653</v>
      </c>
      <c r="BL113">
        <v>27.06653</v>
      </c>
      <c r="BM113">
        <v>483661.5</v>
      </c>
      <c r="BN113">
        <v>4994867</v>
      </c>
      <c r="BO113">
        <v>201.203</v>
      </c>
      <c r="BP113">
        <v>10.65061</v>
      </c>
      <c r="BQ113">
        <v>5.5762399999999997E-2</v>
      </c>
      <c r="BR113">
        <v>18.891210000000001</v>
      </c>
      <c r="BS113">
        <v>1002084</v>
      </c>
      <c r="BT113">
        <v>556110.1</v>
      </c>
      <c r="BU113">
        <v>327970.40000000002</v>
      </c>
      <c r="BV113" s="1">
        <v>14680000000</v>
      </c>
      <c r="BW113" s="1">
        <v>27650000000</v>
      </c>
      <c r="BX113" s="1">
        <v>4858000000</v>
      </c>
      <c r="BY113" s="1">
        <v>8529000000</v>
      </c>
      <c r="BZ113" s="1">
        <v>4085000000</v>
      </c>
      <c r="CA113" s="1">
        <v>7280000000</v>
      </c>
      <c r="CB113">
        <v>1142939</v>
      </c>
      <c r="CC113">
        <v>2152555</v>
      </c>
      <c r="CD113">
        <v>673065</v>
      </c>
      <c r="CE113">
        <v>1181747</v>
      </c>
      <c r="CF113">
        <v>809031</v>
      </c>
      <c r="CG113">
        <v>1440909</v>
      </c>
      <c r="CH113">
        <v>3</v>
      </c>
      <c r="CI113">
        <v>402</v>
      </c>
      <c r="CJ113">
        <v>478480</v>
      </c>
      <c r="CK113">
        <v>4980091</v>
      </c>
      <c r="CL113">
        <v>816</v>
      </c>
      <c r="CM113">
        <v>492625</v>
      </c>
      <c r="CN113">
        <v>4977029</v>
      </c>
      <c r="CO113">
        <v>15658.17</v>
      </c>
      <c r="CP113">
        <v>19963.43</v>
      </c>
      <c r="CQ113">
        <v>15.658160000000001</v>
      </c>
      <c r="CR113">
        <v>19.963429999999999</v>
      </c>
      <c r="CS113">
        <f t="shared" si="3"/>
        <v>1051.7614678899083</v>
      </c>
    </row>
    <row r="114" spans="1:97">
      <c r="A114" t="s">
        <v>93</v>
      </c>
      <c r="B114" t="s">
        <v>94</v>
      </c>
      <c r="C114" t="s">
        <v>93</v>
      </c>
      <c r="D114">
        <v>22206</v>
      </c>
      <c r="E114">
        <v>1212</v>
      </c>
      <c r="F114">
        <v>676.61109999999996</v>
      </c>
      <c r="G114">
        <v>10831</v>
      </c>
      <c r="H114">
        <v>590.92240000000004</v>
      </c>
      <c r="I114">
        <v>52856</v>
      </c>
      <c r="J114">
        <v>0.86</v>
      </c>
      <c r="K114">
        <v>1080</v>
      </c>
      <c r="L114">
        <v>806</v>
      </c>
      <c r="M114">
        <v>947</v>
      </c>
      <c r="N114">
        <v>673</v>
      </c>
      <c r="O114">
        <v>1894</v>
      </c>
      <c r="P114">
        <v>673</v>
      </c>
      <c r="Q114">
        <v>275</v>
      </c>
      <c r="R114">
        <v>0.2050708</v>
      </c>
      <c r="S114">
        <v>1.407132</v>
      </c>
      <c r="T114">
        <v>0.47044209999999997</v>
      </c>
      <c r="U114">
        <v>0.1706686</v>
      </c>
      <c r="V114">
        <v>0.14264940000000001</v>
      </c>
      <c r="W114">
        <v>0.85735059999999996</v>
      </c>
      <c r="X114">
        <v>2.0939999999999999E-3</v>
      </c>
      <c r="Y114" s="2">
        <f t="shared" si="2"/>
        <v>2.0939999999999999</v>
      </c>
      <c r="Z114">
        <v>43317073</v>
      </c>
      <c r="AA114">
        <v>30499562</v>
      </c>
      <c r="AB114">
        <v>12500</v>
      </c>
      <c r="AC114">
        <v>1.42</v>
      </c>
      <c r="AD114">
        <v>0.33</v>
      </c>
      <c r="AE114">
        <v>0.51</v>
      </c>
      <c r="AF114">
        <v>5.56</v>
      </c>
      <c r="AG114">
        <v>8982.42</v>
      </c>
      <c r="AH114">
        <v>152640.79999999999</v>
      </c>
      <c r="AI114">
        <v>8982</v>
      </c>
      <c r="AJ114">
        <v>161623</v>
      </c>
      <c r="AK114">
        <v>18</v>
      </c>
      <c r="AL114">
        <v>9</v>
      </c>
      <c r="AM114">
        <v>28</v>
      </c>
      <c r="AN114">
        <v>0</v>
      </c>
      <c r="AO114">
        <v>0</v>
      </c>
      <c r="AP114">
        <v>901</v>
      </c>
      <c r="AQ114">
        <v>0</v>
      </c>
      <c r="AR114">
        <v>18</v>
      </c>
      <c r="AS114">
        <v>0</v>
      </c>
      <c r="AT114">
        <v>0</v>
      </c>
      <c r="AU114">
        <v>8982</v>
      </c>
      <c r="AV114">
        <v>0</v>
      </c>
      <c r="AW114">
        <v>0</v>
      </c>
      <c r="AX114">
        <v>147344</v>
      </c>
      <c r="AY114">
        <v>0</v>
      </c>
      <c r="AZ114">
        <v>5297</v>
      </c>
      <c r="BA114">
        <v>0</v>
      </c>
      <c r="BB114">
        <v>0</v>
      </c>
      <c r="BC114">
        <v>608745</v>
      </c>
      <c r="BD114">
        <v>80</v>
      </c>
      <c r="BE114">
        <v>609635</v>
      </c>
      <c r="BF114">
        <v>44</v>
      </c>
      <c r="BG114">
        <v>241495</v>
      </c>
      <c r="BH114">
        <v>12179</v>
      </c>
      <c r="BI114">
        <v>19.828800000000001</v>
      </c>
      <c r="BJ114">
        <v>27.544119999999999</v>
      </c>
      <c r="BK114">
        <v>27.544119999999999</v>
      </c>
      <c r="BL114">
        <v>27.544119999999999</v>
      </c>
      <c r="BM114">
        <v>483780.7</v>
      </c>
      <c r="BN114">
        <v>4990285</v>
      </c>
      <c r="BO114">
        <v>346.0994</v>
      </c>
      <c r="BP114">
        <v>18.328970000000002</v>
      </c>
      <c r="BQ114">
        <v>5.3127500000000001E-2</v>
      </c>
      <c r="BR114">
        <v>18.882639999999999</v>
      </c>
      <c r="BS114">
        <v>926929.1</v>
      </c>
      <c r="BT114">
        <v>508379.2</v>
      </c>
      <c r="BU114">
        <v>452110.6</v>
      </c>
      <c r="BV114" s="1">
        <v>31570000000</v>
      </c>
      <c r="BW114" s="1">
        <v>53700000000</v>
      </c>
      <c r="BX114" s="1">
        <v>9794000000</v>
      </c>
      <c r="BY114" s="1">
        <v>16300000000</v>
      </c>
      <c r="BZ114" s="1">
        <v>9375000000</v>
      </c>
      <c r="CA114" s="1">
        <v>16300000000</v>
      </c>
      <c r="CB114">
        <v>1363193</v>
      </c>
      <c r="CC114">
        <v>2319175</v>
      </c>
      <c r="CD114">
        <v>759437</v>
      </c>
      <c r="CE114">
        <v>1263857</v>
      </c>
      <c r="CF114">
        <v>915621</v>
      </c>
      <c r="CG114">
        <v>1596119</v>
      </c>
      <c r="CH114">
        <v>3</v>
      </c>
      <c r="CI114">
        <v>402</v>
      </c>
      <c r="CJ114">
        <v>478480</v>
      </c>
      <c r="CK114">
        <v>4980091</v>
      </c>
      <c r="CL114">
        <v>816</v>
      </c>
      <c r="CM114">
        <v>492625</v>
      </c>
      <c r="CN114">
        <v>4977029</v>
      </c>
      <c r="CO114">
        <v>11489.35</v>
      </c>
      <c r="CP114">
        <v>15935.17</v>
      </c>
      <c r="CQ114">
        <v>11.48935</v>
      </c>
      <c r="CR114">
        <v>15.935169999999999</v>
      </c>
      <c r="CS114">
        <f t="shared" si="3"/>
        <v>1451.8038632986627</v>
      </c>
    </row>
    <row r="115" spans="1:97">
      <c r="A115" t="s">
        <v>95</v>
      </c>
      <c r="B115" t="s">
        <v>258</v>
      </c>
      <c r="C115" t="s">
        <v>95</v>
      </c>
      <c r="D115">
        <v>346</v>
      </c>
      <c r="E115">
        <v>220</v>
      </c>
      <c r="F115">
        <v>79.5</v>
      </c>
      <c r="G115">
        <v>51</v>
      </c>
      <c r="H115">
        <v>32.420430000000003</v>
      </c>
      <c r="I115">
        <v>36094</v>
      </c>
      <c r="J115">
        <v>0.79</v>
      </c>
      <c r="K115">
        <v>58</v>
      </c>
      <c r="L115">
        <v>58</v>
      </c>
      <c r="M115">
        <v>37</v>
      </c>
      <c r="N115">
        <v>37</v>
      </c>
      <c r="O115">
        <v>74</v>
      </c>
      <c r="P115">
        <v>37</v>
      </c>
      <c r="Q115">
        <v>1</v>
      </c>
      <c r="R115">
        <v>1.44928E-2</v>
      </c>
      <c r="S115">
        <v>1</v>
      </c>
      <c r="T115">
        <v>0.352381</v>
      </c>
      <c r="U115">
        <v>0.1895174</v>
      </c>
      <c r="V115">
        <v>0.68955299999999997</v>
      </c>
      <c r="W115">
        <v>0.31044699999999997</v>
      </c>
      <c r="X115">
        <v>2.7778000000000001E-2</v>
      </c>
      <c r="Y115" s="2">
        <f t="shared" si="2"/>
        <v>27.778000000000002</v>
      </c>
      <c r="Z115">
        <v>6288519</v>
      </c>
      <c r="AA115">
        <v>4955208</v>
      </c>
      <c r="AB115">
        <v>8810</v>
      </c>
      <c r="AC115">
        <v>1.27</v>
      </c>
      <c r="AD115">
        <v>0.3</v>
      </c>
      <c r="AE115">
        <v>0.23</v>
      </c>
      <c r="AF115">
        <v>0</v>
      </c>
      <c r="AG115">
        <v>0</v>
      </c>
      <c r="AH115">
        <v>7012.14</v>
      </c>
      <c r="AI115">
        <v>0</v>
      </c>
      <c r="AJ115">
        <v>7012</v>
      </c>
      <c r="AK115">
        <v>2</v>
      </c>
      <c r="AL115">
        <v>4</v>
      </c>
      <c r="AM115">
        <v>0</v>
      </c>
      <c r="AN115">
        <v>0</v>
      </c>
      <c r="AO115">
        <v>0</v>
      </c>
      <c r="AP115">
        <v>35</v>
      </c>
      <c r="AQ115">
        <v>0</v>
      </c>
      <c r="AR115">
        <v>0</v>
      </c>
      <c r="AS115">
        <v>2</v>
      </c>
      <c r="AT115">
        <v>0</v>
      </c>
      <c r="AU115">
        <v>0</v>
      </c>
      <c r="AV115">
        <v>0</v>
      </c>
      <c r="AW115">
        <v>0</v>
      </c>
      <c r="AX115">
        <v>6748</v>
      </c>
      <c r="AY115">
        <v>0</v>
      </c>
      <c r="AZ115">
        <v>0</v>
      </c>
      <c r="BA115">
        <v>264</v>
      </c>
      <c r="BB115">
        <v>0</v>
      </c>
      <c r="BC115">
        <v>3496</v>
      </c>
      <c r="BD115">
        <v>3</v>
      </c>
      <c r="BE115">
        <v>3876</v>
      </c>
      <c r="BF115">
        <v>18</v>
      </c>
      <c r="BG115">
        <v>4340</v>
      </c>
      <c r="BH115">
        <v>159</v>
      </c>
      <c r="BI115">
        <v>27.2956</v>
      </c>
      <c r="BJ115">
        <v>28.605589999999999</v>
      </c>
      <c r="BK115">
        <v>28.605589999999999</v>
      </c>
      <c r="BL115">
        <v>28.605589999999999</v>
      </c>
      <c r="BM115">
        <v>423298.8</v>
      </c>
      <c r="BN115">
        <v>4970509</v>
      </c>
      <c r="BO115">
        <v>25.222149999999999</v>
      </c>
      <c r="BP115">
        <v>1.5730820000000001</v>
      </c>
      <c r="BQ115">
        <v>7.1503700000000003E-2</v>
      </c>
      <c r="BR115">
        <v>16.03359</v>
      </c>
      <c r="BS115">
        <v>227321.9</v>
      </c>
      <c r="BT115">
        <v>104462.9</v>
      </c>
      <c r="BU115">
        <v>33506.980000000003</v>
      </c>
      <c r="CH115">
        <v>1</v>
      </c>
      <c r="CI115">
        <v>402</v>
      </c>
      <c r="CJ115">
        <v>478480</v>
      </c>
      <c r="CK115">
        <v>4980091</v>
      </c>
      <c r="CL115">
        <v>816</v>
      </c>
      <c r="CM115">
        <v>492625</v>
      </c>
      <c r="CN115">
        <v>4977029</v>
      </c>
      <c r="CO115">
        <v>56006.92</v>
      </c>
      <c r="CP115">
        <v>69632.08</v>
      </c>
      <c r="CQ115">
        <v>56.006920000000001</v>
      </c>
      <c r="CR115">
        <v>69.632080000000002</v>
      </c>
      <c r="CS115">
        <f t="shared" si="3"/>
        <v>168.32432432432432</v>
      </c>
    </row>
    <row r="116" spans="1:97">
      <c r="A116" t="s">
        <v>96</v>
      </c>
      <c r="B116" t="s">
        <v>182</v>
      </c>
      <c r="C116" t="s">
        <v>96</v>
      </c>
      <c r="D116">
        <v>20873</v>
      </c>
      <c r="E116">
        <v>1575</v>
      </c>
      <c r="F116">
        <v>836.69230000000005</v>
      </c>
      <c r="G116">
        <v>13341</v>
      </c>
      <c r="H116">
        <v>1006.516</v>
      </c>
      <c r="I116">
        <v>46795</v>
      </c>
      <c r="J116">
        <v>0.86</v>
      </c>
      <c r="K116">
        <v>911</v>
      </c>
      <c r="L116">
        <v>708</v>
      </c>
      <c r="M116">
        <v>768</v>
      </c>
      <c r="N116">
        <v>565</v>
      </c>
      <c r="O116">
        <v>1536</v>
      </c>
      <c r="P116">
        <v>565</v>
      </c>
      <c r="Q116">
        <v>204</v>
      </c>
      <c r="R116">
        <v>0.1813333</v>
      </c>
      <c r="S116">
        <v>1.3592919999999999</v>
      </c>
      <c r="T116">
        <v>0.45470690000000002</v>
      </c>
      <c r="U116">
        <v>0.17285339999999999</v>
      </c>
      <c r="V116">
        <v>0.1263804</v>
      </c>
      <c r="W116">
        <v>0.87361960000000005</v>
      </c>
      <c r="X116">
        <v>2.4099999999999998E-3</v>
      </c>
      <c r="Y116" s="2">
        <f t="shared" si="2"/>
        <v>2.4099999999999997</v>
      </c>
      <c r="Z116">
        <v>39098067</v>
      </c>
      <c r="AA116">
        <v>30759179</v>
      </c>
      <c r="AB116">
        <v>12450</v>
      </c>
      <c r="AC116">
        <v>1.27</v>
      </c>
      <c r="AD116">
        <v>0.33</v>
      </c>
      <c r="AE116">
        <v>0.49</v>
      </c>
      <c r="AF116">
        <v>4.91</v>
      </c>
      <c r="AG116">
        <v>6511.56</v>
      </c>
      <c r="AH116">
        <v>126239.8</v>
      </c>
      <c r="AI116">
        <v>6512</v>
      </c>
      <c r="AJ116">
        <v>132751</v>
      </c>
      <c r="AK116">
        <v>13</v>
      </c>
      <c r="AL116">
        <v>10</v>
      </c>
      <c r="AM116">
        <v>19</v>
      </c>
      <c r="AN116">
        <v>0</v>
      </c>
      <c r="AO116">
        <v>0</v>
      </c>
      <c r="AP116">
        <v>732</v>
      </c>
      <c r="AQ116">
        <v>0</v>
      </c>
      <c r="AR116">
        <v>16</v>
      </c>
      <c r="AS116">
        <v>1</v>
      </c>
      <c r="AT116">
        <v>0</v>
      </c>
      <c r="AU116">
        <v>6512</v>
      </c>
      <c r="AV116">
        <v>0</v>
      </c>
      <c r="AW116">
        <v>0</v>
      </c>
      <c r="AX116">
        <v>121976</v>
      </c>
      <c r="AY116">
        <v>0</v>
      </c>
      <c r="AZ116">
        <v>4142</v>
      </c>
      <c r="BA116">
        <v>122</v>
      </c>
      <c r="BB116">
        <v>0</v>
      </c>
      <c r="BC116">
        <v>195634</v>
      </c>
      <c r="BD116">
        <v>71</v>
      </c>
      <c r="BE116">
        <v>190643</v>
      </c>
      <c r="BF116">
        <v>15</v>
      </c>
      <c r="BG116">
        <v>234760</v>
      </c>
      <c r="BH116">
        <v>10877</v>
      </c>
      <c r="BI116">
        <v>21.583159999999999</v>
      </c>
      <c r="BJ116">
        <v>25.921779999999998</v>
      </c>
      <c r="BK116">
        <v>25.921779999999998</v>
      </c>
      <c r="BL116">
        <v>25.921779999999998</v>
      </c>
      <c r="BM116">
        <v>469539.4</v>
      </c>
      <c r="BN116">
        <v>4987179</v>
      </c>
      <c r="BO116">
        <v>265.12670000000003</v>
      </c>
      <c r="BP116">
        <v>13.254630000000001</v>
      </c>
      <c r="BQ116">
        <v>4.65075E-2</v>
      </c>
      <c r="BR116">
        <v>20.002579999999998</v>
      </c>
      <c r="BS116">
        <v>1332213</v>
      </c>
      <c r="BT116">
        <v>694221.1</v>
      </c>
      <c r="BU116">
        <v>851485.2</v>
      </c>
      <c r="BV116" s="1">
        <v>11840000000</v>
      </c>
      <c r="BW116" s="1">
        <v>25300000000</v>
      </c>
      <c r="BX116" s="1">
        <v>4056000000</v>
      </c>
      <c r="BY116" s="1">
        <v>7815000000</v>
      </c>
      <c r="BZ116" s="1">
        <v>5143000000</v>
      </c>
      <c r="CA116" s="1">
        <v>9770000000</v>
      </c>
      <c r="CB116">
        <v>996005</v>
      </c>
      <c r="CC116">
        <v>2128080</v>
      </c>
      <c r="CD116">
        <v>633616</v>
      </c>
      <c r="CE116">
        <v>1220900</v>
      </c>
      <c r="CF116">
        <v>767917</v>
      </c>
      <c r="CG116">
        <v>1458803</v>
      </c>
      <c r="CH116">
        <v>3</v>
      </c>
      <c r="CI116">
        <v>402</v>
      </c>
      <c r="CJ116">
        <v>478480</v>
      </c>
      <c r="CK116">
        <v>4980091</v>
      </c>
      <c r="CL116">
        <v>816</v>
      </c>
      <c r="CM116">
        <v>492625</v>
      </c>
      <c r="CN116">
        <v>4977029</v>
      </c>
      <c r="CO116">
        <v>11409.36</v>
      </c>
      <c r="CP116">
        <v>25218.36</v>
      </c>
      <c r="CQ116">
        <v>11.40936</v>
      </c>
      <c r="CR116">
        <v>25.218360000000001</v>
      </c>
      <c r="CS116">
        <f t="shared" si="3"/>
        <v>554.15044247787614</v>
      </c>
    </row>
    <row r="117" spans="1:97">
      <c r="A117" t="s">
        <v>97</v>
      </c>
      <c r="C117" t="s">
        <v>97</v>
      </c>
      <c r="D117">
        <v>332</v>
      </c>
      <c r="E117">
        <v>215</v>
      </c>
      <c r="F117">
        <v>96.5</v>
      </c>
      <c r="G117">
        <v>90</v>
      </c>
      <c r="H117">
        <v>58.255749999999999</v>
      </c>
      <c r="I117">
        <v>53250</v>
      </c>
      <c r="J117">
        <v>0.92</v>
      </c>
      <c r="K117">
        <v>63</v>
      </c>
      <c r="L117">
        <v>56</v>
      </c>
      <c r="M117">
        <v>50</v>
      </c>
      <c r="N117">
        <v>43</v>
      </c>
      <c r="O117">
        <v>100</v>
      </c>
      <c r="P117">
        <v>43</v>
      </c>
      <c r="Q117">
        <v>8</v>
      </c>
      <c r="R117">
        <v>9.8765400000000003E-2</v>
      </c>
      <c r="S117">
        <v>1.1627909999999999</v>
      </c>
      <c r="T117">
        <v>0.40650409999999998</v>
      </c>
      <c r="U117">
        <v>0.1834044</v>
      </c>
      <c r="V117">
        <v>0.57238239999999996</v>
      </c>
      <c r="W117">
        <v>0.42761759999999999</v>
      </c>
      <c r="X117">
        <v>2.7685000000000001E-2</v>
      </c>
      <c r="Y117" s="2">
        <f t="shared" si="2"/>
        <v>27.685000000000002</v>
      </c>
      <c r="Z117">
        <v>15668649</v>
      </c>
      <c r="AA117">
        <v>9942691</v>
      </c>
      <c r="AB117">
        <v>12500</v>
      </c>
      <c r="AC117">
        <v>1.58</v>
      </c>
      <c r="AD117">
        <v>0</v>
      </c>
      <c r="AE117">
        <v>0</v>
      </c>
      <c r="AF117">
        <v>0</v>
      </c>
      <c r="AG117">
        <v>0</v>
      </c>
      <c r="AH117">
        <v>9170.2199999999993</v>
      </c>
      <c r="AI117">
        <v>0</v>
      </c>
      <c r="AJ117">
        <v>9170</v>
      </c>
      <c r="AK117">
        <v>2</v>
      </c>
      <c r="AL117">
        <v>6</v>
      </c>
      <c r="AM117">
        <v>0</v>
      </c>
      <c r="AN117">
        <v>0</v>
      </c>
      <c r="AO117">
        <v>0</v>
      </c>
      <c r="AP117">
        <v>50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9170</v>
      </c>
      <c r="AY117">
        <v>0</v>
      </c>
      <c r="AZ117">
        <v>0</v>
      </c>
      <c r="BA117">
        <v>0</v>
      </c>
      <c r="BB117">
        <v>0</v>
      </c>
      <c r="BC117">
        <v>4445</v>
      </c>
      <c r="BD117">
        <v>3</v>
      </c>
      <c r="BE117">
        <v>4445</v>
      </c>
      <c r="BF117">
        <v>22</v>
      </c>
      <c r="BG117">
        <v>5130</v>
      </c>
      <c r="BH117">
        <v>193</v>
      </c>
      <c r="BI117">
        <v>26.580310000000001</v>
      </c>
      <c r="BJ117">
        <v>26.048570000000002</v>
      </c>
      <c r="BK117">
        <v>26.048570000000002</v>
      </c>
      <c r="BL117">
        <v>26.048570000000002</v>
      </c>
      <c r="BM117">
        <v>472321</v>
      </c>
      <c r="BN117">
        <v>4935501</v>
      </c>
      <c r="BO117">
        <v>24.16769</v>
      </c>
      <c r="BP117">
        <v>1.5449120000000001</v>
      </c>
      <c r="BQ117">
        <v>7.3567199999999999E-2</v>
      </c>
      <c r="BR117">
        <v>15.643409999999999</v>
      </c>
      <c r="BS117">
        <v>119435.8</v>
      </c>
      <c r="BT117">
        <v>69431.05</v>
      </c>
      <c r="BU117">
        <v>32377.18</v>
      </c>
      <c r="CH117">
        <v>1</v>
      </c>
      <c r="CI117">
        <v>402</v>
      </c>
      <c r="CJ117">
        <v>478480</v>
      </c>
      <c r="CK117">
        <v>4980091</v>
      </c>
      <c r="CL117">
        <v>816</v>
      </c>
      <c r="CM117">
        <v>492625</v>
      </c>
      <c r="CN117">
        <v>4977029</v>
      </c>
      <c r="CO117">
        <v>45013.34</v>
      </c>
      <c r="CP117">
        <v>46225.82</v>
      </c>
      <c r="CQ117">
        <v>45.013339999999999</v>
      </c>
      <c r="CR117">
        <v>46.225810000000003</v>
      </c>
      <c r="CS117">
        <f t="shared" si="3"/>
        <v>169.86046511627907</v>
      </c>
    </row>
    <row r="118" spans="1:97">
      <c r="A118" t="s">
        <v>0</v>
      </c>
      <c r="B118" t="s">
        <v>255</v>
      </c>
      <c r="C118" t="s">
        <v>0</v>
      </c>
      <c r="D118">
        <v>3057</v>
      </c>
      <c r="E118">
        <v>35</v>
      </c>
      <c r="F118">
        <v>17.44828</v>
      </c>
      <c r="G118">
        <v>283</v>
      </c>
      <c r="H118">
        <v>3.252799</v>
      </c>
      <c r="I118">
        <v>82718</v>
      </c>
      <c r="J118">
        <v>0.85</v>
      </c>
      <c r="K118">
        <v>323</v>
      </c>
      <c r="L118">
        <v>293</v>
      </c>
      <c r="M118">
        <v>252</v>
      </c>
      <c r="N118">
        <v>222</v>
      </c>
      <c r="O118">
        <v>504</v>
      </c>
      <c r="P118">
        <v>222</v>
      </c>
      <c r="Q118">
        <v>31</v>
      </c>
      <c r="R118">
        <v>7.0614999999999997E-2</v>
      </c>
      <c r="S118">
        <v>1.135135</v>
      </c>
      <c r="T118">
        <v>0.3818182</v>
      </c>
      <c r="U118">
        <v>0.62168230000000002</v>
      </c>
      <c r="V118">
        <v>0.37839729999999999</v>
      </c>
      <c r="W118">
        <v>0.62160269999999995</v>
      </c>
      <c r="X118">
        <v>5.1359999999999999E-3</v>
      </c>
      <c r="Y118" s="2">
        <f t="shared" si="2"/>
        <v>5.1360000000000001</v>
      </c>
      <c r="Z118">
        <v>96247658</v>
      </c>
      <c r="AA118">
        <v>64765787</v>
      </c>
      <c r="AB118">
        <v>12500</v>
      </c>
      <c r="AC118">
        <v>1.49</v>
      </c>
      <c r="AD118">
        <v>0.38</v>
      </c>
      <c r="AE118">
        <v>0.42</v>
      </c>
      <c r="AF118">
        <v>6.21</v>
      </c>
      <c r="AG118">
        <v>9734.6200000000008</v>
      </c>
      <c r="AH118">
        <v>146929.29999999999</v>
      </c>
      <c r="AI118">
        <v>9735</v>
      </c>
      <c r="AJ118">
        <v>156664</v>
      </c>
      <c r="AK118">
        <v>87</v>
      </c>
      <c r="AL118">
        <v>2</v>
      </c>
      <c r="AM118">
        <v>9</v>
      </c>
      <c r="AN118">
        <v>0</v>
      </c>
      <c r="AO118">
        <v>0</v>
      </c>
      <c r="AP118">
        <v>238</v>
      </c>
      <c r="AQ118">
        <v>0</v>
      </c>
      <c r="AR118">
        <v>4</v>
      </c>
      <c r="AS118">
        <v>1</v>
      </c>
      <c r="AT118">
        <v>0</v>
      </c>
      <c r="AU118">
        <v>9735</v>
      </c>
      <c r="AV118">
        <v>0</v>
      </c>
      <c r="AW118">
        <v>0</v>
      </c>
      <c r="AX118">
        <v>145433</v>
      </c>
      <c r="AY118">
        <v>0</v>
      </c>
      <c r="AZ118">
        <v>1213</v>
      </c>
      <c r="BA118">
        <v>283</v>
      </c>
      <c r="BB118">
        <v>0</v>
      </c>
      <c r="BC118">
        <v>0</v>
      </c>
      <c r="BD118">
        <v>0</v>
      </c>
      <c r="BE118">
        <v>293261</v>
      </c>
      <c r="BF118">
        <v>154</v>
      </c>
      <c r="BG118">
        <v>42195</v>
      </c>
      <c r="BH118">
        <v>1518</v>
      </c>
      <c r="BI118">
        <v>27.79644</v>
      </c>
      <c r="BJ118">
        <v>28.6372</v>
      </c>
      <c r="BK118">
        <v>28.6372</v>
      </c>
      <c r="BL118">
        <v>28.6372</v>
      </c>
      <c r="BM118">
        <v>473051.7</v>
      </c>
      <c r="BN118">
        <v>4937316</v>
      </c>
      <c r="BO118">
        <v>361.68599999999998</v>
      </c>
      <c r="BP118">
        <v>87.001980000000003</v>
      </c>
      <c r="BQ118">
        <v>0.89692769999999999</v>
      </c>
      <c r="BR118">
        <v>4.157216</v>
      </c>
      <c r="BS118">
        <v>26541.53</v>
      </c>
      <c r="BT118">
        <v>13179.6</v>
      </c>
      <c r="BU118">
        <v>2457.067</v>
      </c>
      <c r="BV118" s="1">
        <v>466400000</v>
      </c>
      <c r="BW118" s="1">
        <v>2238000000</v>
      </c>
      <c r="BX118" s="1">
        <v>184300000</v>
      </c>
      <c r="BY118" s="1">
        <v>834900000</v>
      </c>
      <c r="BZ118">
        <v>22733250</v>
      </c>
      <c r="CA118" s="1">
        <v>173000000</v>
      </c>
      <c r="CB118">
        <v>120800</v>
      </c>
      <c r="CC118">
        <v>579665</v>
      </c>
      <c r="CD118">
        <v>85053</v>
      </c>
      <c r="CE118">
        <v>385246</v>
      </c>
      <c r="CF118">
        <v>44575</v>
      </c>
      <c r="CG118">
        <v>338518</v>
      </c>
      <c r="CH118">
        <v>3</v>
      </c>
      <c r="CI118">
        <v>402</v>
      </c>
      <c r="CJ118">
        <v>478480</v>
      </c>
      <c r="CK118">
        <v>4980091</v>
      </c>
      <c r="CL118">
        <v>816</v>
      </c>
      <c r="CM118">
        <v>492625</v>
      </c>
      <c r="CN118">
        <v>4977029</v>
      </c>
      <c r="CO118">
        <v>43118.55</v>
      </c>
      <c r="CP118">
        <v>44275</v>
      </c>
      <c r="CQ118">
        <v>43.118549999999999</v>
      </c>
      <c r="CR118">
        <v>44.274999999999999</v>
      </c>
      <c r="CS118">
        <f t="shared" si="3"/>
        <v>2120.6216216216217</v>
      </c>
    </row>
    <row r="119" spans="1:97">
      <c r="A119" t="s">
        <v>1</v>
      </c>
      <c r="B119" t="s">
        <v>255</v>
      </c>
      <c r="C119" t="s">
        <v>1</v>
      </c>
      <c r="D119">
        <v>3157</v>
      </c>
      <c r="E119">
        <v>683</v>
      </c>
      <c r="F119">
        <v>266.60000000000002</v>
      </c>
      <c r="G119">
        <v>2208</v>
      </c>
      <c r="H119">
        <v>477.43049999999999</v>
      </c>
      <c r="I119">
        <v>40091</v>
      </c>
      <c r="J119">
        <v>0.86</v>
      </c>
      <c r="K119">
        <v>289</v>
      </c>
      <c r="L119">
        <v>218</v>
      </c>
      <c r="M119">
        <v>241</v>
      </c>
      <c r="N119">
        <v>170</v>
      </c>
      <c r="O119">
        <v>482</v>
      </c>
      <c r="P119">
        <v>170</v>
      </c>
      <c r="Q119">
        <v>72</v>
      </c>
      <c r="R119">
        <v>0.21492539999999999</v>
      </c>
      <c r="S119">
        <v>1.4176470000000001</v>
      </c>
      <c r="T119">
        <v>0.47817460000000001</v>
      </c>
      <c r="U119">
        <v>0.1542713</v>
      </c>
      <c r="V119">
        <v>0.1863534</v>
      </c>
      <c r="W119">
        <v>0.8136466</v>
      </c>
      <c r="X119">
        <v>8.3879999999999996E-3</v>
      </c>
      <c r="Y119" s="2">
        <f t="shared" si="2"/>
        <v>8.3879999999999999</v>
      </c>
      <c r="Z119">
        <v>18629283</v>
      </c>
      <c r="AA119">
        <v>14013746</v>
      </c>
      <c r="AB119">
        <v>12500</v>
      </c>
      <c r="AC119">
        <v>1.33</v>
      </c>
      <c r="AD119">
        <v>0.38</v>
      </c>
      <c r="AE119">
        <v>0.37</v>
      </c>
      <c r="AF119">
        <v>0</v>
      </c>
      <c r="AG119">
        <v>2686.35</v>
      </c>
      <c r="AH119">
        <v>34493.03</v>
      </c>
      <c r="AI119">
        <v>0</v>
      </c>
      <c r="AJ119">
        <v>37179</v>
      </c>
      <c r="AK119">
        <v>5</v>
      </c>
      <c r="AL119">
        <v>8</v>
      </c>
      <c r="AM119">
        <v>0</v>
      </c>
      <c r="AN119">
        <v>0</v>
      </c>
      <c r="AO119">
        <v>18</v>
      </c>
      <c r="AP119">
        <v>223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2686</v>
      </c>
      <c r="AX119">
        <v>34493</v>
      </c>
      <c r="AY119">
        <v>0</v>
      </c>
      <c r="AZ119">
        <v>0</v>
      </c>
      <c r="BA119">
        <v>0</v>
      </c>
      <c r="BB119">
        <v>0</v>
      </c>
      <c r="BC119">
        <v>30027</v>
      </c>
      <c r="BD119">
        <v>18</v>
      </c>
      <c r="BE119">
        <v>22398</v>
      </c>
      <c r="BF119">
        <v>11</v>
      </c>
      <c r="BG119">
        <v>32135</v>
      </c>
      <c r="BH119">
        <v>1333</v>
      </c>
      <c r="BI119">
        <v>24.107279999999999</v>
      </c>
      <c r="BJ119">
        <v>27.581849999999999</v>
      </c>
      <c r="BK119">
        <v>27.581849999999999</v>
      </c>
      <c r="BL119">
        <v>27.581849999999999</v>
      </c>
      <c r="BM119">
        <v>454453.3</v>
      </c>
      <c r="BN119">
        <v>4933336</v>
      </c>
      <c r="BO119">
        <v>82.905879999999996</v>
      </c>
      <c r="BP119">
        <v>4.6245149999999997</v>
      </c>
      <c r="BQ119">
        <v>5.0818799999999997E-2</v>
      </c>
      <c r="BR119">
        <v>17.92747</v>
      </c>
      <c r="BS119">
        <v>597773</v>
      </c>
      <c r="BT119">
        <v>252401.5</v>
      </c>
      <c r="BU119">
        <v>418081.3</v>
      </c>
      <c r="BV119" s="1">
        <v>129000000</v>
      </c>
      <c r="BW119" s="1">
        <v>611400000</v>
      </c>
      <c r="BX119">
        <v>30567057</v>
      </c>
      <c r="BY119" s="1">
        <v>165100000</v>
      </c>
      <c r="BZ119">
        <v>20583640</v>
      </c>
      <c r="CA119" s="1">
        <v>152000000</v>
      </c>
      <c r="CB119">
        <v>41757</v>
      </c>
      <c r="CC119">
        <v>197932</v>
      </c>
      <c r="CD119">
        <v>22080</v>
      </c>
      <c r="CE119">
        <v>119233</v>
      </c>
      <c r="CF119">
        <v>9020</v>
      </c>
      <c r="CG119">
        <v>66609</v>
      </c>
      <c r="CH119">
        <v>3</v>
      </c>
      <c r="CI119">
        <v>402</v>
      </c>
      <c r="CJ119">
        <v>478480</v>
      </c>
      <c r="CK119">
        <v>4980091</v>
      </c>
      <c r="CL119">
        <v>816</v>
      </c>
      <c r="CM119">
        <v>492625</v>
      </c>
      <c r="CN119">
        <v>4977029</v>
      </c>
      <c r="CO119">
        <v>52567.199999999997</v>
      </c>
      <c r="CP119">
        <v>58018.559999999998</v>
      </c>
      <c r="CQ119">
        <v>52.5672</v>
      </c>
      <c r="CR119">
        <v>58.018560000000001</v>
      </c>
      <c r="CS119">
        <f t="shared" si="3"/>
        <v>204.2764705882353</v>
      </c>
    </row>
    <row r="120" spans="1:97">
      <c r="A120" t="s">
        <v>2</v>
      </c>
      <c r="B120" t="s">
        <v>158</v>
      </c>
      <c r="C120" t="s">
        <v>2</v>
      </c>
      <c r="D120">
        <v>3692</v>
      </c>
      <c r="E120">
        <v>36</v>
      </c>
      <c r="F120">
        <v>17.98058</v>
      </c>
      <c r="G120">
        <v>275</v>
      </c>
      <c r="H120">
        <v>2.6746210000000001</v>
      </c>
      <c r="I120">
        <v>68036</v>
      </c>
      <c r="J120">
        <v>0.87</v>
      </c>
      <c r="K120">
        <v>336</v>
      </c>
      <c r="L120">
        <v>301</v>
      </c>
      <c r="M120">
        <v>279</v>
      </c>
      <c r="N120">
        <v>244</v>
      </c>
      <c r="O120">
        <v>558</v>
      </c>
      <c r="P120">
        <v>244</v>
      </c>
      <c r="Q120">
        <v>36</v>
      </c>
      <c r="R120">
        <v>7.4534199999999995E-2</v>
      </c>
      <c r="S120">
        <v>1.143443</v>
      </c>
      <c r="T120">
        <v>0.38429750000000001</v>
      </c>
      <c r="U120">
        <v>0.60350190000000004</v>
      </c>
      <c r="V120">
        <v>0.31390390000000001</v>
      </c>
      <c r="W120">
        <v>0.68609609999999999</v>
      </c>
      <c r="X120">
        <v>4.7060000000000001E-3</v>
      </c>
      <c r="Y120" s="2">
        <f t="shared" si="2"/>
        <v>4.7060000000000004</v>
      </c>
      <c r="Z120">
        <v>85748714</v>
      </c>
      <c r="AA120">
        <v>62085849</v>
      </c>
      <c r="AB120">
        <v>12104</v>
      </c>
      <c r="AC120">
        <v>1.38</v>
      </c>
      <c r="AD120">
        <v>0.44</v>
      </c>
      <c r="AE120">
        <v>0.5</v>
      </c>
      <c r="AF120">
        <v>0</v>
      </c>
      <c r="AG120">
        <v>18281.259999999998</v>
      </c>
      <c r="AH120">
        <v>150095.79999999999</v>
      </c>
      <c r="AI120">
        <v>0</v>
      </c>
      <c r="AJ120">
        <v>168377</v>
      </c>
      <c r="AK120">
        <v>103</v>
      </c>
      <c r="AL120">
        <v>2</v>
      </c>
      <c r="AM120">
        <v>0</v>
      </c>
      <c r="AN120">
        <v>0</v>
      </c>
      <c r="AO120">
        <v>25</v>
      </c>
      <c r="AP120">
        <v>254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18281</v>
      </c>
      <c r="AX120">
        <v>150096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115127</v>
      </c>
      <c r="BF120">
        <v>50</v>
      </c>
      <c r="BG120">
        <v>60630</v>
      </c>
      <c r="BH120">
        <v>1852</v>
      </c>
      <c r="BI120">
        <v>32.737580000000001</v>
      </c>
      <c r="BJ120">
        <v>27.629829999999998</v>
      </c>
      <c r="BK120">
        <v>27.629829999999998</v>
      </c>
      <c r="BL120">
        <v>27.629829999999998</v>
      </c>
      <c r="BM120">
        <v>513490</v>
      </c>
      <c r="BN120">
        <v>5011173</v>
      </c>
      <c r="BO120">
        <v>425.94869999999997</v>
      </c>
      <c r="BP120">
        <v>102.81829999999999</v>
      </c>
      <c r="BQ120">
        <v>1.082298</v>
      </c>
      <c r="BR120">
        <v>4.1427329999999998</v>
      </c>
      <c r="BS120">
        <v>29232.45</v>
      </c>
      <c r="BT120">
        <v>14663.73</v>
      </c>
      <c r="BU120">
        <v>2177.39</v>
      </c>
      <c r="BV120" s="1">
        <v>169800000</v>
      </c>
      <c r="BW120" s="1">
        <v>839100000</v>
      </c>
      <c r="BX120">
        <v>53640191</v>
      </c>
      <c r="BY120" s="1">
        <v>288900000</v>
      </c>
      <c r="BZ120">
        <v>2699600</v>
      </c>
      <c r="CA120" s="1">
        <v>23400000</v>
      </c>
      <c r="CB120">
        <v>45990</v>
      </c>
      <c r="CC120">
        <v>227264</v>
      </c>
      <c r="CD120">
        <v>26955</v>
      </c>
      <c r="CE120">
        <v>145167</v>
      </c>
      <c r="CF120">
        <v>9925</v>
      </c>
      <c r="CG120">
        <v>85856</v>
      </c>
      <c r="CH120">
        <v>3</v>
      </c>
      <c r="CI120">
        <v>402</v>
      </c>
      <c r="CJ120">
        <v>478480</v>
      </c>
      <c r="CK120">
        <v>4980091</v>
      </c>
      <c r="CL120">
        <v>816</v>
      </c>
      <c r="CM120">
        <v>492625</v>
      </c>
      <c r="CN120">
        <v>4977029</v>
      </c>
      <c r="CO120">
        <v>46816.54</v>
      </c>
      <c r="CP120">
        <v>40014.49</v>
      </c>
      <c r="CQ120">
        <v>46.816540000000003</v>
      </c>
      <c r="CR120">
        <v>40.014490000000002</v>
      </c>
      <c r="CS120">
        <f t="shared" si="3"/>
        <v>756.55737704918033</v>
      </c>
    </row>
    <row r="121" spans="1:97">
      <c r="A121" t="s">
        <v>3</v>
      </c>
      <c r="B121" t="s">
        <v>163</v>
      </c>
      <c r="C121" t="s">
        <v>3</v>
      </c>
      <c r="D121">
        <v>116</v>
      </c>
      <c r="E121">
        <v>251</v>
      </c>
      <c r="G121">
        <v>0</v>
      </c>
      <c r="H121">
        <v>0</v>
      </c>
      <c r="I121">
        <v>59583</v>
      </c>
      <c r="J121">
        <v>0.8</v>
      </c>
      <c r="K121">
        <v>25</v>
      </c>
      <c r="L121">
        <v>22</v>
      </c>
      <c r="M121">
        <v>19</v>
      </c>
      <c r="N121">
        <v>16</v>
      </c>
      <c r="O121">
        <v>38</v>
      </c>
      <c r="P121">
        <v>16</v>
      </c>
      <c r="Q121">
        <v>4</v>
      </c>
      <c r="R121">
        <v>0.1481481</v>
      </c>
      <c r="S121">
        <v>1.1875</v>
      </c>
      <c r="T121">
        <v>0.45238099999999998</v>
      </c>
      <c r="U121">
        <v>0.15029500000000001</v>
      </c>
      <c r="V121">
        <v>0.51002999999999998</v>
      </c>
      <c r="W121">
        <v>0.48997000000000002</v>
      </c>
      <c r="X121">
        <v>7.9167000000000001E-2</v>
      </c>
      <c r="Y121" s="2">
        <f t="shared" si="2"/>
        <v>79.167000000000002</v>
      </c>
      <c r="Z121">
        <v>4667400</v>
      </c>
      <c r="AA121">
        <v>3893555</v>
      </c>
      <c r="AB121">
        <v>12500</v>
      </c>
      <c r="AC121">
        <v>1.2</v>
      </c>
      <c r="AD121">
        <v>0</v>
      </c>
      <c r="AE121">
        <v>0</v>
      </c>
      <c r="AF121">
        <v>0</v>
      </c>
      <c r="AG121">
        <v>0</v>
      </c>
      <c r="AH121">
        <v>2855.61</v>
      </c>
      <c r="AI121">
        <v>0</v>
      </c>
      <c r="AJ121">
        <v>2856</v>
      </c>
      <c r="AK121">
        <v>0</v>
      </c>
      <c r="AL121">
        <v>6</v>
      </c>
      <c r="AM121">
        <v>0</v>
      </c>
      <c r="AN121">
        <v>0</v>
      </c>
      <c r="AO121">
        <v>0</v>
      </c>
      <c r="AP121">
        <v>19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2856</v>
      </c>
      <c r="AY121">
        <v>0</v>
      </c>
      <c r="AZ121">
        <v>0</v>
      </c>
      <c r="BA121">
        <v>0</v>
      </c>
      <c r="BB121">
        <v>0</v>
      </c>
      <c r="BC121">
        <v>2920</v>
      </c>
      <c r="BD121">
        <v>2</v>
      </c>
      <c r="BE121">
        <v>2919</v>
      </c>
      <c r="BF121">
        <v>40</v>
      </c>
      <c r="BG121">
        <v>1575</v>
      </c>
      <c r="BH121">
        <v>62</v>
      </c>
      <c r="BI121">
        <v>25.403220000000001</v>
      </c>
      <c r="BJ121">
        <v>33.660589999999999</v>
      </c>
      <c r="BK121">
        <v>33.660589999999999</v>
      </c>
      <c r="BL121">
        <v>33.660589999999999</v>
      </c>
      <c r="BM121">
        <v>505335.5</v>
      </c>
      <c r="BN121">
        <v>4938975</v>
      </c>
      <c r="BO121">
        <v>8.5348930000000003</v>
      </c>
      <c r="BP121">
        <v>0.4625976</v>
      </c>
      <c r="BQ121">
        <v>3.8549800000000002E-2</v>
      </c>
      <c r="BR121">
        <v>18.449929999999998</v>
      </c>
      <c r="BS121">
        <v>402187.2</v>
      </c>
      <c r="BT121">
        <v>214962.1</v>
      </c>
      <c r="BU121">
        <v>0</v>
      </c>
      <c r="CH121">
        <v>1</v>
      </c>
      <c r="CI121">
        <v>402</v>
      </c>
      <c r="CJ121">
        <v>478480</v>
      </c>
      <c r="CK121">
        <v>4980091</v>
      </c>
      <c r="CL121">
        <v>816</v>
      </c>
      <c r="CM121">
        <v>492625</v>
      </c>
      <c r="CN121">
        <v>4977029</v>
      </c>
      <c r="CO121">
        <v>49109.52</v>
      </c>
      <c r="CP121">
        <v>40120.629999999997</v>
      </c>
      <c r="CQ121">
        <v>49.109520000000003</v>
      </c>
      <c r="CR121">
        <v>40.120620000000002</v>
      </c>
      <c r="CS121">
        <f t="shared" si="3"/>
        <v>290</v>
      </c>
    </row>
    <row r="122" spans="1:97">
      <c r="A122" t="s">
        <v>4</v>
      </c>
      <c r="B122" t="s">
        <v>158</v>
      </c>
      <c r="C122" t="s">
        <v>4</v>
      </c>
      <c r="D122">
        <v>3715</v>
      </c>
      <c r="E122">
        <v>372</v>
      </c>
      <c r="F122">
        <v>201</v>
      </c>
      <c r="G122">
        <v>2262</v>
      </c>
      <c r="H122">
        <v>226.70150000000001</v>
      </c>
      <c r="I122">
        <v>45373</v>
      </c>
      <c r="J122">
        <v>0.84</v>
      </c>
      <c r="K122">
        <v>370</v>
      </c>
      <c r="L122">
        <v>274</v>
      </c>
      <c r="M122">
        <v>341</v>
      </c>
      <c r="N122">
        <v>245</v>
      </c>
      <c r="O122">
        <v>682</v>
      </c>
      <c r="P122">
        <v>245</v>
      </c>
      <c r="Q122">
        <v>97</v>
      </c>
      <c r="R122">
        <v>0.2</v>
      </c>
      <c r="S122">
        <v>1.391837</v>
      </c>
      <c r="T122">
        <v>0.46776400000000001</v>
      </c>
      <c r="U122">
        <v>0.18101629999999999</v>
      </c>
      <c r="V122">
        <v>0.28237380000000001</v>
      </c>
      <c r="W122">
        <v>0.71762619999999999</v>
      </c>
      <c r="X122">
        <v>5.7039999999999999E-3</v>
      </c>
      <c r="Y122" s="2">
        <f t="shared" si="2"/>
        <v>5.7039999999999997</v>
      </c>
      <c r="Z122">
        <v>28182754</v>
      </c>
      <c r="AA122">
        <v>20469282</v>
      </c>
      <c r="AB122">
        <v>12000</v>
      </c>
      <c r="AC122">
        <v>1.38</v>
      </c>
      <c r="AD122">
        <v>0.69</v>
      </c>
      <c r="AE122">
        <v>0.87</v>
      </c>
      <c r="AF122">
        <v>9.33</v>
      </c>
      <c r="AG122">
        <v>6630.67</v>
      </c>
      <c r="AH122">
        <v>55095.88</v>
      </c>
      <c r="AI122">
        <v>5759</v>
      </c>
      <c r="AJ122">
        <v>61727</v>
      </c>
      <c r="AK122">
        <v>10</v>
      </c>
      <c r="AL122">
        <v>6</v>
      </c>
      <c r="AM122">
        <v>22</v>
      </c>
      <c r="AN122">
        <v>4</v>
      </c>
      <c r="AO122">
        <v>0</v>
      </c>
      <c r="AP122">
        <v>301</v>
      </c>
      <c r="AQ122">
        <v>0</v>
      </c>
      <c r="AR122">
        <v>13</v>
      </c>
      <c r="AS122">
        <v>1</v>
      </c>
      <c r="AT122">
        <v>0</v>
      </c>
      <c r="AU122">
        <v>5759</v>
      </c>
      <c r="AV122">
        <v>872</v>
      </c>
      <c r="AW122">
        <v>0</v>
      </c>
      <c r="AX122">
        <v>51595</v>
      </c>
      <c r="AY122">
        <v>0</v>
      </c>
      <c r="AZ122">
        <v>3332</v>
      </c>
      <c r="BA122">
        <v>169</v>
      </c>
      <c r="BB122">
        <v>0</v>
      </c>
      <c r="BC122">
        <v>296878</v>
      </c>
      <c r="BD122">
        <v>31</v>
      </c>
      <c r="BE122">
        <v>272331</v>
      </c>
      <c r="BF122">
        <v>118</v>
      </c>
      <c r="BG122">
        <v>42815</v>
      </c>
      <c r="BH122">
        <v>2010</v>
      </c>
      <c r="BI122">
        <v>21.300989999999999</v>
      </c>
      <c r="BJ122">
        <v>28.35294</v>
      </c>
      <c r="BK122">
        <v>28.35294</v>
      </c>
      <c r="BL122">
        <v>28.35294</v>
      </c>
      <c r="BM122">
        <v>500197.9</v>
      </c>
      <c r="BN122">
        <v>4968985</v>
      </c>
      <c r="BO122">
        <v>145.30959999999999</v>
      </c>
      <c r="BP122">
        <v>9.9778800000000007</v>
      </c>
      <c r="BQ122">
        <v>7.1783299999999994E-2</v>
      </c>
      <c r="BR122">
        <v>14.563179999999999</v>
      </c>
      <c r="BS122">
        <v>321175.7</v>
      </c>
      <c r="BT122">
        <v>173772</v>
      </c>
      <c r="BU122">
        <v>195558.39999999999</v>
      </c>
      <c r="BV122" s="1">
        <v>2834000000</v>
      </c>
      <c r="BW122" s="1">
        <v>6942000000</v>
      </c>
      <c r="BX122" s="1">
        <v>883200000</v>
      </c>
      <c r="BY122" s="1">
        <v>2129000000</v>
      </c>
      <c r="BZ122" s="1">
        <v>1255000000</v>
      </c>
      <c r="CA122" s="1">
        <v>3190000000</v>
      </c>
      <c r="CB122">
        <v>762162</v>
      </c>
      <c r="CC122">
        <v>1866597</v>
      </c>
      <c r="CD122">
        <v>434005</v>
      </c>
      <c r="CE122">
        <v>1046089</v>
      </c>
      <c r="CF122">
        <v>505894</v>
      </c>
      <c r="CG122">
        <v>1287614</v>
      </c>
      <c r="CH122">
        <v>3</v>
      </c>
      <c r="CI122">
        <v>402</v>
      </c>
      <c r="CJ122">
        <v>478480</v>
      </c>
      <c r="CK122">
        <v>4980091</v>
      </c>
      <c r="CL122">
        <v>816</v>
      </c>
      <c r="CM122">
        <v>492625</v>
      </c>
      <c r="CN122">
        <v>4977029</v>
      </c>
      <c r="CO122">
        <v>24392.81</v>
      </c>
      <c r="CP122">
        <v>11047.82</v>
      </c>
      <c r="CQ122">
        <v>24.392810000000001</v>
      </c>
      <c r="CR122">
        <v>11.04782</v>
      </c>
      <c r="CS122">
        <f t="shared" si="3"/>
        <v>1789.2653061224489</v>
      </c>
    </row>
    <row r="123" spans="1:97">
      <c r="A123" t="s">
        <v>5</v>
      </c>
      <c r="B123" t="s">
        <v>163</v>
      </c>
      <c r="C123" t="s">
        <v>5</v>
      </c>
      <c r="D123">
        <v>865</v>
      </c>
      <c r="E123">
        <v>20</v>
      </c>
      <c r="F123">
        <v>11.51163</v>
      </c>
      <c r="G123">
        <v>143</v>
      </c>
      <c r="H123">
        <v>3.2926639999999998</v>
      </c>
      <c r="I123">
        <v>72955</v>
      </c>
      <c r="J123">
        <v>0.84</v>
      </c>
      <c r="K123">
        <v>121</v>
      </c>
      <c r="L123">
        <v>107</v>
      </c>
      <c r="M123">
        <v>99</v>
      </c>
      <c r="N123">
        <v>85</v>
      </c>
      <c r="O123">
        <v>198</v>
      </c>
      <c r="P123">
        <v>85</v>
      </c>
      <c r="Q123">
        <v>15</v>
      </c>
      <c r="R123">
        <v>9.0909100000000007E-2</v>
      </c>
      <c r="S123">
        <v>1.164706</v>
      </c>
      <c r="T123">
        <v>0.39759040000000001</v>
      </c>
      <c r="U123">
        <v>0.6138306</v>
      </c>
      <c r="V123">
        <v>0.29348210000000002</v>
      </c>
      <c r="W123">
        <v>0.70651790000000003</v>
      </c>
      <c r="X123">
        <v>1.3866E-2</v>
      </c>
      <c r="Y123" s="2">
        <f t="shared" si="2"/>
        <v>13.866</v>
      </c>
      <c r="Z123">
        <v>61713220</v>
      </c>
      <c r="AA123">
        <v>44135368</v>
      </c>
      <c r="AB123">
        <v>12350</v>
      </c>
      <c r="AC123">
        <v>1.4</v>
      </c>
      <c r="AD123">
        <v>0.94</v>
      </c>
      <c r="AE123">
        <v>0.74</v>
      </c>
      <c r="AF123">
        <v>0</v>
      </c>
      <c r="AG123">
        <v>6434.44</v>
      </c>
      <c r="AH123">
        <v>54334.78</v>
      </c>
      <c r="AI123">
        <v>0</v>
      </c>
      <c r="AJ123">
        <v>60769</v>
      </c>
      <c r="AK123">
        <v>43</v>
      </c>
      <c r="AL123">
        <v>1</v>
      </c>
      <c r="AM123">
        <v>0</v>
      </c>
      <c r="AN123">
        <v>0</v>
      </c>
      <c r="AO123">
        <v>7</v>
      </c>
      <c r="AP123">
        <v>78</v>
      </c>
      <c r="AQ123">
        <v>0</v>
      </c>
      <c r="AR123">
        <v>0</v>
      </c>
      <c r="AS123">
        <v>14</v>
      </c>
      <c r="AT123">
        <v>0</v>
      </c>
      <c r="AU123">
        <v>0</v>
      </c>
      <c r="AV123">
        <v>0</v>
      </c>
      <c r="AW123">
        <v>6434</v>
      </c>
      <c r="AX123">
        <v>51662</v>
      </c>
      <c r="AY123">
        <v>0</v>
      </c>
      <c r="AZ123">
        <v>0</v>
      </c>
      <c r="BA123">
        <v>2673</v>
      </c>
      <c r="BB123">
        <v>0</v>
      </c>
      <c r="BC123">
        <v>0</v>
      </c>
      <c r="BD123">
        <v>0</v>
      </c>
      <c r="BE123">
        <v>66293</v>
      </c>
      <c r="BF123">
        <v>123</v>
      </c>
      <c r="BG123">
        <v>11815</v>
      </c>
      <c r="BH123">
        <v>495</v>
      </c>
      <c r="BI123">
        <v>23.868690000000001</v>
      </c>
      <c r="BJ123">
        <v>28.603020000000001</v>
      </c>
      <c r="BK123">
        <v>28.603020000000001</v>
      </c>
      <c r="BL123">
        <v>28.603020000000001</v>
      </c>
      <c r="BM123">
        <v>505464.5</v>
      </c>
      <c r="BN123">
        <v>4954809</v>
      </c>
      <c r="BO123">
        <v>173.2423</v>
      </c>
      <c r="BP123">
        <v>43.429879999999997</v>
      </c>
      <c r="BQ123">
        <v>0.92403999999999997</v>
      </c>
      <c r="BR123">
        <v>3.9890119999999998</v>
      </c>
      <c r="BS123">
        <v>16953.37</v>
      </c>
      <c r="BT123">
        <v>9701.6389999999992</v>
      </c>
      <c r="BU123">
        <v>2802.6959999999999</v>
      </c>
      <c r="BV123" s="1">
        <v>194100000</v>
      </c>
      <c r="BW123" s="1">
        <v>1054000000</v>
      </c>
      <c r="BX123">
        <v>62403646</v>
      </c>
      <c r="BY123" s="1">
        <v>331200000</v>
      </c>
      <c r="BZ123">
        <v>7628685</v>
      </c>
      <c r="CA123" s="1">
        <v>75400000</v>
      </c>
      <c r="CB123">
        <v>142705</v>
      </c>
      <c r="CC123">
        <v>774674</v>
      </c>
      <c r="CD123">
        <v>81294</v>
      </c>
      <c r="CE123">
        <v>431479</v>
      </c>
      <c r="CF123">
        <v>46234</v>
      </c>
      <c r="CG123">
        <v>456855</v>
      </c>
      <c r="CH123">
        <v>3</v>
      </c>
      <c r="CI123">
        <v>402</v>
      </c>
      <c r="CJ123">
        <v>478480</v>
      </c>
      <c r="CK123">
        <v>4980091</v>
      </c>
      <c r="CL123">
        <v>816</v>
      </c>
      <c r="CM123">
        <v>492625</v>
      </c>
      <c r="CN123">
        <v>4977029</v>
      </c>
      <c r="CO123">
        <v>36977.620000000003</v>
      </c>
      <c r="CP123">
        <v>25662.85</v>
      </c>
      <c r="CQ123">
        <v>36.977620000000002</v>
      </c>
      <c r="CR123">
        <v>25.662849999999999</v>
      </c>
      <c r="CS123">
        <f t="shared" si="3"/>
        <v>1251.7058823529412</v>
      </c>
    </row>
    <row r="124" spans="1:97">
      <c r="A124" t="s">
        <v>6</v>
      </c>
      <c r="B124" t="s">
        <v>165</v>
      </c>
      <c r="C124" t="s">
        <v>6</v>
      </c>
      <c r="D124">
        <v>3883</v>
      </c>
      <c r="E124">
        <v>174</v>
      </c>
      <c r="F124">
        <v>74.863640000000004</v>
      </c>
      <c r="G124">
        <v>1056</v>
      </c>
      <c r="H124">
        <v>47.344880000000003</v>
      </c>
      <c r="I124">
        <v>149158</v>
      </c>
      <c r="J124">
        <v>0.87</v>
      </c>
      <c r="K124">
        <v>436</v>
      </c>
      <c r="L124">
        <v>382</v>
      </c>
      <c r="M124">
        <v>381</v>
      </c>
      <c r="N124">
        <v>327</v>
      </c>
      <c r="O124">
        <v>762</v>
      </c>
      <c r="P124">
        <v>327</v>
      </c>
      <c r="Q124">
        <v>55</v>
      </c>
      <c r="R124">
        <v>8.4745799999999996E-2</v>
      </c>
      <c r="S124">
        <v>1.165138</v>
      </c>
      <c r="T124">
        <v>0.39076919999999998</v>
      </c>
      <c r="U124">
        <v>0.2364106</v>
      </c>
      <c r="V124">
        <v>0.3206349</v>
      </c>
      <c r="W124">
        <v>0.6793652</v>
      </c>
      <c r="X124">
        <v>3.5739999999999999E-3</v>
      </c>
      <c r="Y124" s="2">
        <f t="shared" si="2"/>
        <v>3.5739999999999998</v>
      </c>
      <c r="Z124">
        <v>35741722</v>
      </c>
      <c r="AA124">
        <v>24293195</v>
      </c>
      <c r="AB124">
        <v>11106</v>
      </c>
      <c r="AC124">
        <v>1.47</v>
      </c>
      <c r="AD124">
        <v>0.03</v>
      </c>
      <c r="AE124">
        <v>0.02</v>
      </c>
      <c r="AF124">
        <v>0</v>
      </c>
      <c r="AG124">
        <v>0</v>
      </c>
      <c r="AH124">
        <v>90072.43</v>
      </c>
      <c r="AI124">
        <v>0</v>
      </c>
      <c r="AJ124">
        <v>90072</v>
      </c>
      <c r="AK124">
        <v>22</v>
      </c>
      <c r="AL124">
        <v>4</v>
      </c>
      <c r="AM124">
        <v>0</v>
      </c>
      <c r="AN124">
        <v>0</v>
      </c>
      <c r="AO124">
        <v>0</v>
      </c>
      <c r="AP124">
        <v>380</v>
      </c>
      <c r="AQ124">
        <v>0</v>
      </c>
      <c r="AR124">
        <v>0</v>
      </c>
      <c r="AS124">
        <v>1</v>
      </c>
      <c r="AT124">
        <v>0</v>
      </c>
      <c r="AU124">
        <v>0</v>
      </c>
      <c r="AV124">
        <v>0</v>
      </c>
      <c r="AW124">
        <v>0</v>
      </c>
      <c r="AX124">
        <v>89939</v>
      </c>
      <c r="AY124">
        <v>0</v>
      </c>
      <c r="AZ124">
        <v>0</v>
      </c>
      <c r="BA124">
        <v>134</v>
      </c>
      <c r="BB124">
        <v>0</v>
      </c>
      <c r="BC124">
        <v>60142</v>
      </c>
      <c r="BD124">
        <v>43</v>
      </c>
      <c r="BE124">
        <v>66434</v>
      </c>
      <c r="BF124">
        <v>28</v>
      </c>
      <c r="BG124">
        <v>39580</v>
      </c>
      <c r="BH124">
        <v>1647</v>
      </c>
      <c r="BI124">
        <v>24.031569999999999</v>
      </c>
      <c r="BJ124">
        <v>24.49381</v>
      </c>
      <c r="BK124">
        <v>24.49381</v>
      </c>
      <c r="BL124">
        <v>24.49381</v>
      </c>
      <c r="BM124">
        <v>493058.3</v>
      </c>
      <c r="BN124">
        <v>4994088</v>
      </c>
      <c r="BO124">
        <v>210.77440000000001</v>
      </c>
      <c r="BP124">
        <v>22.30442</v>
      </c>
      <c r="BQ124">
        <v>0.1939514</v>
      </c>
      <c r="BR124">
        <v>9.4498949999999997</v>
      </c>
      <c r="BS124">
        <v>98151.07</v>
      </c>
      <c r="BT124">
        <v>41631.42</v>
      </c>
      <c r="BU124">
        <v>26692.639999999999</v>
      </c>
      <c r="BV124" s="1">
        <v>2681000000</v>
      </c>
      <c r="BW124" s="1">
        <v>7673000000</v>
      </c>
      <c r="BX124" s="1">
        <v>719300000</v>
      </c>
      <c r="BY124" s="1">
        <v>1997000000</v>
      </c>
      <c r="BZ124" s="1">
        <v>560800000</v>
      </c>
      <c r="CA124" s="1">
        <v>1540000000</v>
      </c>
      <c r="CB124">
        <v>653394</v>
      </c>
      <c r="CC124">
        <v>1870068</v>
      </c>
      <c r="CD124">
        <v>377274</v>
      </c>
      <c r="CE124">
        <v>1047517</v>
      </c>
      <c r="CF124">
        <v>412347</v>
      </c>
      <c r="CG124">
        <v>1130558</v>
      </c>
      <c r="CH124">
        <v>3</v>
      </c>
      <c r="CI124">
        <v>402</v>
      </c>
      <c r="CJ124">
        <v>478480</v>
      </c>
      <c r="CK124">
        <v>4980091</v>
      </c>
      <c r="CL124">
        <v>816</v>
      </c>
      <c r="CM124">
        <v>492625</v>
      </c>
      <c r="CN124">
        <v>4977029</v>
      </c>
      <c r="CO124">
        <v>20209.98</v>
      </c>
      <c r="CP124">
        <v>17064.5</v>
      </c>
      <c r="CQ124">
        <v>20.209980000000002</v>
      </c>
      <c r="CR124">
        <v>17.064499999999999</v>
      </c>
      <c r="CS124">
        <f t="shared" si="3"/>
        <v>332.48929663608561</v>
      </c>
    </row>
    <row r="125" spans="1:97">
      <c r="A125" t="s">
        <v>7</v>
      </c>
      <c r="B125" t="s">
        <v>165</v>
      </c>
      <c r="C125" t="s">
        <v>8</v>
      </c>
      <c r="D125">
        <v>11929</v>
      </c>
      <c r="E125">
        <v>1529</v>
      </c>
      <c r="F125">
        <v>769.25</v>
      </c>
      <c r="G125">
        <v>3496</v>
      </c>
      <c r="H125">
        <v>448.1474</v>
      </c>
      <c r="I125">
        <v>50923</v>
      </c>
      <c r="J125">
        <v>0.85</v>
      </c>
      <c r="K125">
        <v>668</v>
      </c>
      <c r="L125">
        <v>436</v>
      </c>
      <c r="M125">
        <v>618</v>
      </c>
      <c r="N125">
        <v>386</v>
      </c>
      <c r="O125">
        <v>1236</v>
      </c>
      <c r="P125">
        <v>386</v>
      </c>
      <c r="Q125">
        <v>233</v>
      </c>
      <c r="R125">
        <v>0.30378100000000002</v>
      </c>
      <c r="S125">
        <v>1.6010359999999999</v>
      </c>
      <c r="T125">
        <v>0.53645830000000005</v>
      </c>
      <c r="U125">
        <v>0.15464259999999999</v>
      </c>
      <c r="V125">
        <v>6.9427199999999994E-2</v>
      </c>
      <c r="W125">
        <v>0.93057279999999998</v>
      </c>
      <c r="X125">
        <v>4.1590000000000004E-3</v>
      </c>
      <c r="Y125" s="2">
        <f t="shared" si="2"/>
        <v>4.1590000000000007</v>
      </c>
      <c r="Z125">
        <v>23637455</v>
      </c>
      <c r="AA125">
        <v>18064782</v>
      </c>
      <c r="AB125">
        <v>12500</v>
      </c>
      <c r="AC125">
        <v>1.31</v>
      </c>
      <c r="AD125">
        <v>0.25</v>
      </c>
      <c r="AE125">
        <v>0.39</v>
      </c>
      <c r="AF125">
        <v>0</v>
      </c>
      <c r="AG125">
        <v>2658.94</v>
      </c>
      <c r="AH125">
        <v>92910.16</v>
      </c>
      <c r="AI125">
        <v>0</v>
      </c>
      <c r="AJ125">
        <v>95569</v>
      </c>
      <c r="AK125">
        <v>8</v>
      </c>
      <c r="AL125">
        <v>12</v>
      </c>
      <c r="AM125">
        <v>0</v>
      </c>
      <c r="AN125">
        <v>0</v>
      </c>
      <c r="AO125">
        <v>10</v>
      </c>
      <c r="AP125">
        <v>597</v>
      </c>
      <c r="AQ125">
        <v>0</v>
      </c>
      <c r="AR125">
        <v>0</v>
      </c>
      <c r="AS125">
        <v>11</v>
      </c>
      <c r="AT125">
        <v>0</v>
      </c>
      <c r="AU125">
        <v>0</v>
      </c>
      <c r="AV125">
        <v>0</v>
      </c>
      <c r="AW125">
        <v>2659</v>
      </c>
      <c r="AX125">
        <v>89852</v>
      </c>
      <c r="AY125">
        <v>0</v>
      </c>
      <c r="AZ125">
        <v>0</v>
      </c>
      <c r="BA125">
        <v>3058</v>
      </c>
      <c r="BB125">
        <v>0</v>
      </c>
      <c r="BC125">
        <v>184645</v>
      </c>
      <c r="BD125">
        <v>53</v>
      </c>
      <c r="BE125">
        <v>178652</v>
      </c>
      <c r="BF125">
        <v>24</v>
      </c>
      <c r="BG125">
        <v>132490</v>
      </c>
      <c r="BH125">
        <v>6154</v>
      </c>
      <c r="BI125">
        <v>21.52909</v>
      </c>
      <c r="BJ125">
        <v>27.507159999999999</v>
      </c>
      <c r="BK125">
        <v>27.507159999999999</v>
      </c>
      <c r="BL125">
        <v>27.507159999999999</v>
      </c>
      <c r="BM125">
        <v>500039.3</v>
      </c>
      <c r="BN125">
        <v>4984471</v>
      </c>
      <c r="BO125">
        <v>185.96010000000001</v>
      </c>
      <c r="BP125">
        <v>7.801005</v>
      </c>
      <c r="BQ125">
        <v>3.2915600000000003E-2</v>
      </c>
      <c r="BR125">
        <v>23.837959999999999</v>
      </c>
      <c r="BS125">
        <v>1374665</v>
      </c>
      <c r="BT125">
        <v>709169.8</v>
      </c>
      <c r="BU125">
        <v>402869.3</v>
      </c>
      <c r="BV125" s="1">
        <v>10820000000</v>
      </c>
      <c r="BW125" s="1">
        <v>24410000000</v>
      </c>
      <c r="BX125" s="1">
        <v>3141000000</v>
      </c>
      <c r="BY125" s="1">
        <v>7160000000</v>
      </c>
      <c r="BZ125" s="1">
        <v>3072000000</v>
      </c>
      <c r="CA125" s="1">
        <v>6690000000</v>
      </c>
      <c r="CB125">
        <v>855437</v>
      </c>
      <c r="CC125">
        <v>1929341</v>
      </c>
      <c r="CD125">
        <v>477730</v>
      </c>
      <c r="CE125">
        <v>1089034</v>
      </c>
      <c r="CF125">
        <v>589060</v>
      </c>
      <c r="CG125">
        <v>1282321</v>
      </c>
      <c r="CH125">
        <v>3</v>
      </c>
      <c r="CI125">
        <v>402</v>
      </c>
      <c r="CJ125">
        <v>478480</v>
      </c>
      <c r="CK125">
        <v>4980091</v>
      </c>
      <c r="CL125">
        <v>816</v>
      </c>
      <c r="CM125">
        <v>492625</v>
      </c>
      <c r="CN125">
        <v>4977029</v>
      </c>
      <c r="CO125">
        <v>21999.67</v>
      </c>
      <c r="CP125">
        <v>10504.97</v>
      </c>
      <c r="CQ125">
        <v>21.999669999999998</v>
      </c>
      <c r="CR125">
        <v>10.50497</v>
      </c>
      <c r="CS125">
        <f t="shared" si="3"/>
        <v>741.69948186528495</v>
      </c>
    </row>
    <row r="126" spans="1:97">
      <c r="A126" t="s">
        <v>9</v>
      </c>
      <c r="B126" t="s">
        <v>163</v>
      </c>
      <c r="C126" t="s">
        <v>9</v>
      </c>
      <c r="D126">
        <v>557</v>
      </c>
      <c r="E126">
        <v>634</v>
      </c>
      <c r="F126">
        <v>290</v>
      </c>
      <c r="G126">
        <v>73</v>
      </c>
      <c r="H126">
        <v>83.101669999999999</v>
      </c>
      <c r="I126">
        <v>75580</v>
      </c>
      <c r="J126">
        <v>0.89</v>
      </c>
      <c r="K126">
        <v>64</v>
      </c>
      <c r="L126">
        <v>63</v>
      </c>
      <c r="M126">
        <v>54</v>
      </c>
      <c r="N126">
        <v>53</v>
      </c>
      <c r="O126">
        <v>108</v>
      </c>
      <c r="P126">
        <v>53</v>
      </c>
      <c r="Q126">
        <v>2</v>
      </c>
      <c r="R126">
        <v>1.9802E-2</v>
      </c>
      <c r="S126">
        <v>1.0188680000000001</v>
      </c>
      <c r="T126">
        <v>0.35294120000000001</v>
      </c>
      <c r="U126">
        <v>0.12637010000000001</v>
      </c>
      <c r="V126">
        <v>0.56818619999999997</v>
      </c>
      <c r="W126">
        <v>0.43181380000000003</v>
      </c>
      <c r="X126">
        <v>1.9594E-2</v>
      </c>
      <c r="Y126" s="2">
        <f t="shared" si="2"/>
        <v>19.594000000000001</v>
      </c>
      <c r="Z126">
        <v>9142775</v>
      </c>
      <c r="AA126">
        <v>5189906</v>
      </c>
      <c r="AB126">
        <v>10850</v>
      </c>
      <c r="AC126">
        <v>1.76</v>
      </c>
      <c r="AD126">
        <v>0</v>
      </c>
      <c r="AE126">
        <v>0</v>
      </c>
      <c r="AF126">
        <v>0</v>
      </c>
      <c r="AG126">
        <v>0</v>
      </c>
      <c r="AH126">
        <v>6823.98</v>
      </c>
      <c r="AI126">
        <v>0</v>
      </c>
      <c r="AJ126">
        <v>6824</v>
      </c>
      <c r="AK126">
        <v>1</v>
      </c>
      <c r="AL126">
        <v>8</v>
      </c>
      <c r="AM126">
        <v>0</v>
      </c>
      <c r="AN126">
        <v>0</v>
      </c>
      <c r="AO126">
        <v>0</v>
      </c>
      <c r="AP126">
        <v>54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6824</v>
      </c>
      <c r="AY126">
        <v>0</v>
      </c>
      <c r="AZ126">
        <v>0</v>
      </c>
      <c r="BA126">
        <v>0</v>
      </c>
      <c r="BB126">
        <v>0</v>
      </c>
      <c r="BC126">
        <v>5175</v>
      </c>
      <c r="BD126">
        <v>4</v>
      </c>
      <c r="BE126">
        <v>3760</v>
      </c>
      <c r="BF126">
        <v>11</v>
      </c>
      <c r="BG126">
        <v>6915</v>
      </c>
      <c r="BH126">
        <v>290</v>
      </c>
      <c r="BI126">
        <v>23.844830000000002</v>
      </c>
      <c r="BJ126">
        <v>25.114920000000001</v>
      </c>
      <c r="BK126">
        <v>25.114920000000001</v>
      </c>
      <c r="BL126">
        <v>25.114920000000001</v>
      </c>
      <c r="BM126">
        <v>486856.2</v>
      </c>
      <c r="BN126">
        <v>4924529</v>
      </c>
      <c r="BO126">
        <v>19.164560000000002</v>
      </c>
      <c r="BP126">
        <v>0.8783147</v>
      </c>
      <c r="BQ126">
        <v>5.1665599999999999E-2</v>
      </c>
      <c r="BR126">
        <v>21.819700000000001</v>
      </c>
      <c r="BS126">
        <v>262153.8</v>
      </c>
      <c r="BT126">
        <v>136489.4</v>
      </c>
      <c r="BU126">
        <v>34357.68</v>
      </c>
      <c r="CH126">
        <v>1</v>
      </c>
      <c r="CI126">
        <v>402</v>
      </c>
      <c r="CJ126">
        <v>478480</v>
      </c>
      <c r="CK126">
        <v>4980091</v>
      </c>
      <c r="CL126">
        <v>816</v>
      </c>
      <c r="CM126">
        <v>492625</v>
      </c>
      <c r="CN126">
        <v>4977029</v>
      </c>
      <c r="CO126">
        <v>56189.82</v>
      </c>
      <c r="CP126">
        <v>52816</v>
      </c>
      <c r="CQ126">
        <v>56.189819999999997</v>
      </c>
      <c r="CR126">
        <v>52.815989999999999</v>
      </c>
      <c r="CS126">
        <f t="shared" si="3"/>
        <v>115.60377358490567</v>
      </c>
    </row>
    <row r="127" spans="1:97">
      <c r="A127" t="s">
        <v>112</v>
      </c>
      <c r="B127" t="s">
        <v>258</v>
      </c>
      <c r="C127" t="s">
        <v>112</v>
      </c>
      <c r="D127">
        <v>3108</v>
      </c>
      <c r="E127">
        <v>736</v>
      </c>
      <c r="F127">
        <v>387.75</v>
      </c>
      <c r="G127">
        <v>1531</v>
      </c>
      <c r="H127">
        <v>362.73079999999999</v>
      </c>
      <c r="I127">
        <v>46152</v>
      </c>
      <c r="J127">
        <v>0.84</v>
      </c>
      <c r="K127">
        <v>265</v>
      </c>
      <c r="L127">
        <v>208</v>
      </c>
      <c r="M127">
        <v>223</v>
      </c>
      <c r="N127">
        <v>166</v>
      </c>
      <c r="O127">
        <v>446</v>
      </c>
      <c r="P127">
        <v>166</v>
      </c>
      <c r="Q127">
        <v>58</v>
      </c>
      <c r="R127">
        <v>0.17737</v>
      </c>
      <c r="S127">
        <v>1.3433740000000001</v>
      </c>
      <c r="T127">
        <v>0.45325199999999999</v>
      </c>
      <c r="U127">
        <v>0.16654040000000001</v>
      </c>
      <c r="V127">
        <v>0.24593019999999999</v>
      </c>
      <c r="W127">
        <v>0.75406989999999996</v>
      </c>
      <c r="X127">
        <v>8.1419999999999999E-3</v>
      </c>
      <c r="Y127" s="2">
        <f t="shared" si="2"/>
        <v>8.1419999999999995</v>
      </c>
      <c r="Z127">
        <v>19674322</v>
      </c>
      <c r="AA127">
        <v>15009452</v>
      </c>
      <c r="AB127">
        <v>12500</v>
      </c>
      <c r="AC127">
        <v>1.31</v>
      </c>
      <c r="AD127">
        <v>0.35</v>
      </c>
      <c r="AE127">
        <v>0.48</v>
      </c>
      <c r="AF127">
        <v>0</v>
      </c>
      <c r="AG127">
        <v>2775.46</v>
      </c>
      <c r="AH127">
        <v>34363.040000000001</v>
      </c>
      <c r="AI127">
        <v>0</v>
      </c>
      <c r="AJ127">
        <v>37139</v>
      </c>
      <c r="AK127">
        <v>4</v>
      </c>
      <c r="AL127">
        <v>9</v>
      </c>
      <c r="AM127">
        <v>0</v>
      </c>
      <c r="AN127">
        <v>6</v>
      </c>
      <c r="AO127">
        <v>4</v>
      </c>
      <c r="AP127">
        <v>212</v>
      </c>
      <c r="AQ127">
        <v>0</v>
      </c>
      <c r="AR127">
        <v>0</v>
      </c>
      <c r="AS127">
        <v>1</v>
      </c>
      <c r="AT127">
        <v>0</v>
      </c>
      <c r="AU127">
        <v>0</v>
      </c>
      <c r="AV127">
        <v>1714</v>
      </c>
      <c r="AW127">
        <v>1062</v>
      </c>
      <c r="AX127">
        <v>34271</v>
      </c>
      <c r="AY127">
        <v>0</v>
      </c>
      <c r="AZ127">
        <v>0</v>
      </c>
      <c r="BA127">
        <v>92</v>
      </c>
      <c r="BB127">
        <v>0</v>
      </c>
      <c r="BC127">
        <v>19181</v>
      </c>
      <c r="BD127">
        <v>20</v>
      </c>
      <c r="BE127">
        <v>25352</v>
      </c>
      <c r="BF127">
        <v>13</v>
      </c>
      <c r="BG127">
        <v>38540</v>
      </c>
      <c r="BH127">
        <v>1551</v>
      </c>
      <c r="BI127">
        <v>24.848479999999999</v>
      </c>
      <c r="BJ127">
        <v>28.3597</v>
      </c>
      <c r="BK127">
        <v>28.3597</v>
      </c>
      <c r="BL127">
        <v>28.3597</v>
      </c>
      <c r="BM127">
        <v>426902.7</v>
      </c>
      <c r="BN127">
        <v>4958251</v>
      </c>
      <c r="BO127">
        <v>92.370900000000006</v>
      </c>
      <c r="BP127">
        <v>4.2207610000000004</v>
      </c>
      <c r="BQ127">
        <v>4.4901700000000003E-2</v>
      </c>
      <c r="BR127">
        <v>21.884889999999999</v>
      </c>
      <c r="BS127">
        <v>701150.3</v>
      </c>
      <c r="BT127">
        <v>349898.3</v>
      </c>
      <c r="BU127">
        <v>345386.4</v>
      </c>
      <c r="CH127">
        <v>1</v>
      </c>
      <c r="CI127">
        <v>402</v>
      </c>
      <c r="CJ127">
        <v>478480</v>
      </c>
      <c r="CK127">
        <v>4980091</v>
      </c>
      <c r="CL127">
        <v>816</v>
      </c>
      <c r="CM127">
        <v>492625</v>
      </c>
      <c r="CN127">
        <v>4977029</v>
      </c>
      <c r="CO127">
        <v>56010.92</v>
      </c>
      <c r="CP127">
        <v>68352.399999999994</v>
      </c>
      <c r="CQ127">
        <v>56.010919999999999</v>
      </c>
      <c r="CR127">
        <v>68.352400000000003</v>
      </c>
      <c r="CS127">
        <f t="shared" si="3"/>
        <v>243.39759036144579</v>
      </c>
    </row>
    <row r="128" spans="1:97">
      <c r="A128" t="s">
        <v>113</v>
      </c>
      <c r="B128" t="s">
        <v>160</v>
      </c>
      <c r="C128" t="s">
        <v>113</v>
      </c>
      <c r="D128">
        <v>6903</v>
      </c>
      <c r="E128">
        <v>76</v>
      </c>
      <c r="F128">
        <v>40.978020000000001</v>
      </c>
      <c r="G128">
        <v>361</v>
      </c>
      <c r="H128">
        <v>3.9596629999999999</v>
      </c>
      <c r="I128">
        <v>70169</v>
      </c>
      <c r="J128">
        <v>0.87</v>
      </c>
      <c r="K128">
        <v>794</v>
      </c>
      <c r="L128">
        <v>685</v>
      </c>
      <c r="M128">
        <v>625</v>
      </c>
      <c r="N128">
        <v>516</v>
      </c>
      <c r="O128">
        <v>1250</v>
      </c>
      <c r="P128">
        <v>516</v>
      </c>
      <c r="Q128">
        <v>110</v>
      </c>
      <c r="R128">
        <v>0.1071081</v>
      </c>
      <c r="S128">
        <v>1.2112400000000001</v>
      </c>
      <c r="T128">
        <v>0.40531780000000001</v>
      </c>
      <c r="U128">
        <v>0.35708309999999999</v>
      </c>
      <c r="V128">
        <v>0.280422</v>
      </c>
      <c r="W128">
        <v>0.71957800000000005</v>
      </c>
      <c r="X128">
        <v>2.3519999999999999E-3</v>
      </c>
      <c r="Y128" s="2">
        <f t="shared" si="2"/>
        <v>2.3519999999999999</v>
      </c>
      <c r="Z128">
        <v>92188833</v>
      </c>
      <c r="AA128">
        <v>61976214</v>
      </c>
      <c r="AB128">
        <v>12500</v>
      </c>
      <c r="AC128">
        <v>1.49</v>
      </c>
      <c r="AD128">
        <v>0.11</v>
      </c>
      <c r="AE128">
        <v>0.1</v>
      </c>
      <c r="AF128">
        <v>0</v>
      </c>
      <c r="AG128">
        <v>2380.37</v>
      </c>
      <c r="AH128">
        <v>220796.6</v>
      </c>
      <c r="AI128">
        <v>0</v>
      </c>
      <c r="AJ128">
        <v>223177</v>
      </c>
      <c r="AK128">
        <v>91</v>
      </c>
      <c r="AL128">
        <v>2</v>
      </c>
      <c r="AM128">
        <v>0</v>
      </c>
      <c r="AN128">
        <v>0</v>
      </c>
      <c r="AO128">
        <v>7</v>
      </c>
      <c r="AP128">
        <v>617</v>
      </c>
      <c r="AQ128">
        <v>0</v>
      </c>
      <c r="AR128">
        <v>0</v>
      </c>
      <c r="AS128">
        <v>1</v>
      </c>
      <c r="AT128">
        <v>0</v>
      </c>
      <c r="AU128">
        <v>0</v>
      </c>
      <c r="AV128">
        <v>0</v>
      </c>
      <c r="AW128">
        <v>2380</v>
      </c>
      <c r="AX128">
        <v>220484</v>
      </c>
      <c r="AY128">
        <v>0</v>
      </c>
      <c r="AZ128">
        <v>0</v>
      </c>
      <c r="BA128">
        <v>313</v>
      </c>
      <c r="BB128">
        <v>0</v>
      </c>
      <c r="BC128">
        <v>163507</v>
      </c>
      <c r="BD128">
        <v>116</v>
      </c>
      <c r="BE128">
        <v>163154</v>
      </c>
      <c r="BF128">
        <v>38</v>
      </c>
      <c r="BG128">
        <v>145910</v>
      </c>
      <c r="BH128">
        <v>3729</v>
      </c>
      <c r="BI128">
        <v>39.128450000000001</v>
      </c>
      <c r="BJ128">
        <v>26.90428</v>
      </c>
      <c r="BK128">
        <v>26.90428</v>
      </c>
      <c r="BL128">
        <v>26.90428</v>
      </c>
      <c r="BM128">
        <v>474423.4</v>
      </c>
      <c r="BN128">
        <v>5020878</v>
      </c>
      <c r="BO128">
        <v>585.14679999999998</v>
      </c>
      <c r="BP128">
        <v>91.169370000000001</v>
      </c>
      <c r="BQ128">
        <v>0.40519719999999998</v>
      </c>
      <c r="BR128">
        <v>6.4182379999999997</v>
      </c>
      <c r="BS128">
        <v>50386.31</v>
      </c>
      <c r="BT128">
        <v>27218.68</v>
      </c>
      <c r="BU128">
        <v>2635.0079999999998</v>
      </c>
      <c r="BV128" s="1">
        <v>1013000000</v>
      </c>
      <c r="BW128" s="1">
        <v>2720000000</v>
      </c>
      <c r="BX128" s="1">
        <v>349200000</v>
      </c>
      <c r="BY128" s="1">
        <v>1049000000</v>
      </c>
      <c r="BZ128">
        <v>14937174</v>
      </c>
      <c r="CA128" s="1">
        <v>60200000</v>
      </c>
      <c r="CB128">
        <v>145054</v>
      </c>
      <c r="CC128">
        <v>389473</v>
      </c>
      <c r="CD128">
        <v>88412</v>
      </c>
      <c r="CE128">
        <v>265667</v>
      </c>
      <c r="CF128">
        <v>41608</v>
      </c>
      <c r="CG128">
        <v>167695</v>
      </c>
      <c r="CH128">
        <v>3</v>
      </c>
      <c r="CI128">
        <v>402</v>
      </c>
      <c r="CJ128">
        <v>478480</v>
      </c>
      <c r="CK128">
        <v>4980091</v>
      </c>
      <c r="CL128">
        <v>816</v>
      </c>
      <c r="CM128">
        <v>492625</v>
      </c>
      <c r="CN128">
        <v>4977029</v>
      </c>
      <c r="CO128">
        <v>40987.730000000003</v>
      </c>
      <c r="CP128">
        <v>47476.18</v>
      </c>
      <c r="CQ128">
        <v>40.987740000000002</v>
      </c>
      <c r="CR128">
        <v>47.476179999999999</v>
      </c>
      <c r="CS128">
        <f t="shared" si="3"/>
        <v>508.36046511627904</v>
      </c>
    </row>
    <row r="129" spans="1:97">
      <c r="A129" t="s">
        <v>114</v>
      </c>
      <c r="B129" t="s">
        <v>158</v>
      </c>
      <c r="C129" t="s">
        <v>114</v>
      </c>
      <c r="D129">
        <v>3957</v>
      </c>
      <c r="E129">
        <v>451</v>
      </c>
      <c r="F129">
        <v>193.33330000000001</v>
      </c>
      <c r="G129">
        <v>2700</v>
      </c>
      <c r="H129">
        <v>307.5496</v>
      </c>
      <c r="I129">
        <v>48425</v>
      </c>
      <c r="J129">
        <v>0.85</v>
      </c>
      <c r="K129">
        <v>361</v>
      </c>
      <c r="L129">
        <v>307</v>
      </c>
      <c r="M129">
        <v>273</v>
      </c>
      <c r="N129">
        <v>219</v>
      </c>
      <c r="O129">
        <v>546</v>
      </c>
      <c r="P129">
        <v>219</v>
      </c>
      <c r="Q129">
        <v>55</v>
      </c>
      <c r="R129">
        <v>0.12702079999999999</v>
      </c>
      <c r="S129">
        <v>1.246575</v>
      </c>
      <c r="T129">
        <v>0.41935480000000003</v>
      </c>
      <c r="U129">
        <v>0.20090939999999999</v>
      </c>
      <c r="V129">
        <v>0.28997899999999999</v>
      </c>
      <c r="W129">
        <v>0.71002100000000001</v>
      </c>
      <c r="X129">
        <v>5.718E-3</v>
      </c>
      <c r="Y129" s="2">
        <f t="shared" si="2"/>
        <v>5.718</v>
      </c>
      <c r="Z129">
        <v>28190493</v>
      </c>
      <c r="AA129">
        <v>20689355</v>
      </c>
      <c r="AB129">
        <v>11104</v>
      </c>
      <c r="AC129">
        <v>1.36</v>
      </c>
      <c r="AD129">
        <v>0.55000000000000004</v>
      </c>
      <c r="AE129">
        <v>0.79</v>
      </c>
      <c r="AF129">
        <v>0</v>
      </c>
      <c r="AG129">
        <v>8554.15</v>
      </c>
      <c r="AH129">
        <v>46294.13</v>
      </c>
      <c r="AI129">
        <v>0</v>
      </c>
      <c r="AJ129">
        <v>54848</v>
      </c>
      <c r="AK129">
        <v>9</v>
      </c>
      <c r="AL129">
        <v>6</v>
      </c>
      <c r="AM129">
        <v>0</v>
      </c>
      <c r="AN129">
        <v>0</v>
      </c>
      <c r="AO129">
        <v>22</v>
      </c>
      <c r="AP129">
        <v>246</v>
      </c>
      <c r="AQ129">
        <v>0</v>
      </c>
      <c r="AR129">
        <v>4</v>
      </c>
      <c r="AS129">
        <v>1</v>
      </c>
      <c r="AT129">
        <v>0</v>
      </c>
      <c r="AU129">
        <v>0</v>
      </c>
      <c r="AV129">
        <v>0</v>
      </c>
      <c r="AW129">
        <v>8554</v>
      </c>
      <c r="AX129">
        <v>45062</v>
      </c>
      <c r="AY129">
        <v>0</v>
      </c>
      <c r="AZ129">
        <v>1084</v>
      </c>
      <c r="BA129">
        <v>148</v>
      </c>
      <c r="BB129">
        <v>0</v>
      </c>
      <c r="BC129">
        <v>69170</v>
      </c>
      <c r="BD129">
        <v>23</v>
      </c>
      <c r="BE129">
        <v>89405</v>
      </c>
      <c r="BF129">
        <v>36</v>
      </c>
      <c r="BG129">
        <v>37090</v>
      </c>
      <c r="BH129">
        <v>1740</v>
      </c>
      <c r="BI129">
        <v>21.316089999999999</v>
      </c>
      <c r="BJ129">
        <v>27.275120000000001</v>
      </c>
      <c r="BK129">
        <v>27.275120000000001</v>
      </c>
      <c r="BL129">
        <v>27.275120000000001</v>
      </c>
      <c r="BM129">
        <v>514993.8</v>
      </c>
      <c r="BN129">
        <v>4986572</v>
      </c>
      <c r="BO129">
        <v>123.6972</v>
      </c>
      <c r="BP129">
        <v>8.7790719999999993</v>
      </c>
      <c r="BQ129">
        <v>7.9809699999999997E-2</v>
      </c>
      <c r="BR129">
        <v>14.090009999999999</v>
      </c>
      <c r="BS129">
        <v>367389.8</v>
      </c>
      <c r="BT129">
        <v>161551.20000000001</v>
      </c>
      <c r="BU129">
        <v>250682.9</v>
      </c>
      <c r="BV129" s="1">
        <v>298400000</v>
      </c>
      <c r="BW129" s="1">
        <v>1262000000</v>
      </c>
      <c r="BX129">
        <v>63800713</v>
      </c>
      <c r="BY129" s="1">
        <v>262600000</v>
      </c>
      <c r="BZ129" s="1">
        <v>122800000</v>
      </c>
      <c r="CA129" s="1">
        <v>546000000</v>
      </c>
      <c r="CB129">
        <v>212233</v>
      </c>
      <c r="CC129">
        <v>897495</v>
      </c>
      <c r="CD129">
        <v>118312</v>
      </c>
      <c r="CE129">
        <v>487041</v>
      </c>
      <c r="CF129">
        <v>115451</v>
      </c>
      <c r="CG129">
        <v>513493</v>
      </c>
      <c r="CH129">
        <v>3</v>
      </c>
      <c r="CI129">
        <v>402</v>
      </c>
      <c r="CJ129">
        <v>478480</v>
      </c>
      <c r="CK129">
        <v>4980091</v>
      </c>
      <c r="CL129">
        <v>816</v>
      </c>
      <c r="CM129">
        <v>492625</v>
      </c>
      <c r="CN129">
        <v>4977029</v>
      </c>
      <c r="CO129">
        <v>37084.410000000003</v>
      </c>
      <c r="CP129">
        <v>24319.16</v>
      </c>
      <c r="CQ129">
        <v>37.084409999999998</v>
      </c>
      <c r="CR129">
        <v>24.31916</v>
      </c>
      <c r="CS129">
        <f t="shared" si="3"/>
        <v>650.46575342465758</v>
      </c>
    </row>
    <row r="130" spans="1:97">
      <c r="A130" t="s">
        <v>115</v>
      </c>
      <c r="B130" t="s">
        <v>158</v>
      </c>
      <c r="C130" t="s">
        <v>115</v>
      </c>
      <c r="D130">
        <v>26653</v>
      </c>
      <c r="E130">
        <v>911</v>
      </c>
      <c r="F130">
        <v>490.79309999999998</v>
      </c>
      <c r="G130">
        <v>7637</v>
      </c>
      <c r="H130">
        <v>261.09649999999999</v>
      </c>
      <c r="I130">
        <v>56299</v>
      </c>
      <c r="J130">
        <v>0.9</v>
      </c>
      <c r="K130">
        <v>1504</v>
      </c>
      <c r="L130">
        <v>1155</v>
      </c>
      <c r="M130">
        <v>1314</v>
      </c>
      <c r="N130">
        <v>965</v>
      </c>
      <c r="O130">
        <v>2628</v>
      </c>
      <c r="P130">
        <v>965</v>
      </c>
      <c r="Q130">
        <v>350</v>
      </c>
      <c r="R130">
        <v>0.18181820000000001</v>
      </c>
      <c r="S130">
        <v>1.361658</v>
      </c>
      <c r="T130">
        <v>0.45482860000000003</v>
      </c>
      <c r="U130">
        <v>0.17068720000000001</v>
      </c>
      <c r="V130">
        <v>0.14611499999999999</v>
      </c>
      <c r="W130">
        <v>0.85388500000000001</v>
      </c>
      <c r="X130">
        <v>1.413E-3</v>
      </c>
      <c r="Y130" s="2">
        <f t="shared" si="2"/>
        <v>1.413</v>
      </c>
      <c r="Z130">
        <v>58079973</v>
      </c>
      <c r="AA130">
        <v>45173810</v>
      </c>
      <c r="AB130">
        <v>12450</v>
      </c>
      <c r="AC130">
        <v>1.29</v>
      </c>
      <c r="AD130">
        <v>0.42</v>
      </c>
      <c r="AE130">
        <v>0.74</v>
      </c>
      <c r="AF130">
        <v>5.57</v>
      </c>
      <c r="AG130">
        <v>17548.96</v>
      </c>
      <c r="AH130">
        <v>206734</v>
      </c>
      <c r="AI130">
        <v>12483</v>
      </c>
      <c r="AJ130">
        <v>224283</v>
      </c>
      <c r="AK130">
        <v>29</v>
      </c>
      <c r="AL130">
        <v>8</v>
      </c>
      <c r="AM130">
        <v>26</v>
      </c>
      <c r="AN130">
        <v>0</v>
      </c>
      <c r="AO130">
        <v>17</v>
      </c>
      <c r="AP130">
        <v>1240</v>
      </c>
      <c r="AQ130">
        <v>5</v>
      </c>
      <c r="AR130">
        <v>24</v>
      </c>
      <c r="AS130">
        <v>2</v>
      </c>
      <c r="AT130">
        <v>0</v>
      </c>
      <c r="AU130">
        <v>12483</v>
      </c>
      <c r="AV130">
        <v>0</v>
      </c>
      <c r="AW130">
        <v>5066</v>
      </c>
      <c r="AX130">
        <v>197858</v>
      </c>
      <c r="AY130">
        <v>1830</v>
      </c>
      <c r="AZ130">
        <v>6747</v>
      </c>
      <c r="BA130">
        <v>299</v>
      </c>
      <c r="BB130">
        <v>0</v>
      </c>
      <c r="BC130">
        <v>700017</v>
      </c>
      <c r="BD130">
        <v>143</v>
      </c>
      <c r="BE130">
        <v>679692</v>
      </c>
      <c r="BF130">
        <v>41</v>
      </c>
      <c r="BG130">
        <v>316065</v>
      </c>
      <c r="BH130">
        <v>14233</v>
      </c>
      <c r="BI130">
        <v>22.206489999999999</v>
      </c>
      <c r="BJ130">
        <v>26.856809999999999</v>
      </c>
      <c r="BK130">
        <v>26.856809999999999</v>
      </c>
      <c r="BL130">
        <v>26.856809999999999</v>
      </c>
      <c r="BM130">
        <v>502830.5</v>
      </c>
      <c r="BN130">
        <v>4981586</v>
      </c>
      <c r="BO130">
        <v>393.2722</v>
      </c>
      <c r="BP130">
        <v>29.24973</v>
      </c>
      <c r="BQ130">
        <v>9.3749100000000002E-2</v>
      </c>
      <c r="BR130">
        <v>13.44533</v>
      </c>
      <c r="BS130">
        <v>808800.6</v>
      </c>
      <c r="BT130">
        <v>431908.5</v>
      </c>
      <c r="BU130">
        <v>231749.1</v>
      </c>
      <c r="BV130" s="1">
        <v>20260000000</v>
      </c>
      <c r="BW130" s="1">
        <v>49290000000</v>
      </c>
      <c r="BX130" s="1">
        <v>5934000000</v>
      </c>
      <c r="BY130" s="1">
        <v>14910000000</v>
      </c>
      <c r="BZ130" s="1">
        <v>3561000000</v>
      </c>
      <c r="CA130" s="1">
        <v>9700000000</v>
      </c>
      <c r="CB130">
        <v>751420</v>
      </c>
      <c r="CC130">
        <v>1828676</v>
      </c>
      <c r="CD130">
        <v>404542</v>
      </c>
      <c r="CE130">
        <v>1016593</v>
      </c>
      <c r="CF130">
        <v>456715</v>
      </c>
      <c r="CG130">
        <v>1244595</v>
      </c>
      <c r="CH130">
        <v>3</v>
      </c>
      <c r="CI130">
        <v>402</v>
      </c>
      <c r="CJ130">
        <v>478480</v>
      </c>
      <c r="CK130">
        <v>4980091</v>
      </c>
      <c r="CL130">
        <v>816</v>
      </c>
      <c r="CM130">
        <v>492625</v>
      </c>
      <c r="CN130">
        <v>4977029</v>
      </c>
      <c r="CO130">
        <v>24396.35</v>
      </c>
      <c r="CP130">
        <v>11176.52</v>
      </c>
      <c r="CQ130">
        <v>24.396350000000002</v>
      </c>
      <c r="CR130">
        <v>11.17652</v>
      </c>
      <c r="CS130">
        <f t="shared" si="3"/>
        <v>1132.4072538860103</v>
      </c>
    </row>
    <row r="131" spans="1:97">
      <c r="A131" t="s">
        <v>116</v>
      </c>
      <c r="B131" t="s">
        <v>182</v>
      </c>
      <c r="C131" t="s">
        <v>116</v>
      </c>
      <c r="D131">
        <v>7538</v>
      </c>
      <c r="E131">
        <v>121</v>
      </c>
      <c r="F131">
        <v>59.096780000000003</v>
      </c>
      <c r="G131">
        <v>1098</v>
      </c>
      <c r="H131">
        <v>17.667290000000001</v>
      </c>
      <c r="I131">
        <v>88314</v>
      </c>
      <c r="J131">
        <v>0.88</v>
      </c>
      <c r="K131">
        <v>804</v>
      </c>
      <c r="L131">
        <v>726</v>
      </c>
      <c r="M131">
        <v>674</v>
      </c>
      <c r="N131">
        <v>596</v>
      </c>
      <c r="O131">
        <v>1348</v>
      </c>
      <c r="P131">
        <v>596</v>
      </c>
      <c r="Q131">
        <v>79</v>
      </c>
      <c r="R131">
        <v>6.6554299999999997E-2</v>
      </c>
      <c r="S131">
        <v>1.1308720000000001</v>
      </c>
      <c r="T131">
        <v>0.37822670000000003</v>
      </c>
      <c r="U131">
        <v>0.26032100000000002</v>
      </c>
      <c r="V131">
        <v>0.40405960000000002</v>
      </c>
      <c r="W131">
        <v>0.59594040000000004</v>
      </c>
      <c r="X131">
        <v>1.9009999999999999E-3</v>
      </c>
      <c r="Y131" s="2">
        <f t="shared" ref="Y131:Y185" si="4">X131*1000</f>
        <v>1.9009999999999998</v>
      </c>
      <c r="Z131">
        <v>61806475</v>
      </c>
      <c r="AA131">
        <v>38654186</v>
      </c>
      <c r="AB131">
        <v>10119</v>
      </c>
      <c r="AC131">
        <v>1.6</v>
      </c>
      <c r="AD131">
        <v>0.33</v>
      </c>
      <c r="AE131">
        <v>0.6</v>
      </c>
      <c r="AF131">
        <v>0</v>
      </c>
      <c r="AG131">
        <v>6917.93</v>
      </c>
      <c r="AH131">
        <v>168538.4</v>
      </c>
      <c r="AI131">
        <v>0</v>
      </c>
      <c r="AJ131">
        <v>175456</v>
      </c>
      <c r="AK131">
        <v>62</v>
      </c>
      <c r="AL131">
        <v>3</v>
      </c>
      <c r="AM131">
        <v>0</v>
      </c>
      <c r="AN131">
        <v>9</v>
      </c>
      <c r="AO131">
        <v>0</v>
      </c>
      <c r="AP131">
        <v>644</v>
      </c>
      <c r="AQ131">
        <v>15</v>
      </c>
      <c r="AR131">
        <v>0</v>
      </c>
      <c r="AS131">
        <v>6</v>
      </c>
      <c r="AT131">
        <v>0</v>
      </c>
      <c r="AU131">
        <v>0</v>
      </c>
      <c r="AV131">
        <v>6918</v>
      </c>
      <c r="AW131">
        <v>0</v>
      </c>
      <c r="AX131">
        <v>157506</v>
      </c>
      <c r="AY131">
        <v>10273</v>
      </c>
      <c r="AZ131">
        <v>0</v>
      </c>
      <c r="BA131">
        <v>759</v>
      </c>
      <c r="BB131">
        <v>0</v>
      </c>
      <c r="BC131">
        <v>277802</v>
      </c>
      <c r="BD131">
        <v>79</v>
      </c>
      <c r="BE131">
        <v>361504</v>
      </c>
      <c r="BF131">
        <v>77</v>
      </c>
      <c r="BG131">
        <v>93415</v>
      </c>
      <c r="BH131">
        <v>3664</v>
      </c>
      <c r="BI131">
        <v>25.495360000000002</v>
      </c>
      <c r="BJ131">
        <v>26.953759999999999</v>
      </c>
      <c r="BK131">
        <v>26.953759999999999</v>
      </c>
      <c r="BL131">
        <v>26.953759999999999</v>
      </c>
      <c r="BM131">
        <v>453411.3</v>
      </c>
      <c r="BN131">
        <v>4979314</v>
      </c>
      <c r="BO131">
        <v>570.101</v>
      </c>
      <c r="BP131">
        <v>62.148739999999997</v>
      </c>
      <c r="BQ131">
        <v>0.20785529999999999</v>
      </c>
      <c r="BR131">
        <v>9.1731700000000007</v>
      </c>
      <c r="BS131">
        <v>70109.27</v>
      </c>
      <c r="BT131">
        <v>34078.050000000003</v>
      </c>
      <c r="BU131">
        <v>10212.25</v>
      </c>
      <c r="BV131" s="1">
        <v>3590000000</v>
      </c>
      <c r="BW131" s="1">
        <v>12900000000</v>
      </c>
      <c r="BX131" s="1">
        <v>1325000000</v>
      </c>
      <c r="BY131" s="1">
        <v>4335000000</v>
      </c>
      <c r="BZ131" s="1">
        <v>1416000000</v>
      </c>
      <c r="CA131" s="1">
        <v>4640000000</v>
      </c>
      <c r="CB131">
        <v>332891</v>
      </c>
      <c r="CC131">
        <v>1196582</v>
      </c>
      <c r="CD131">
        <v>236527</v>
      </c>
      <c r="CE131">
        <v>773681</v>
      </c>
      <c r="CF131">
        <v>310763</v>
      </c>
      <c r="CG131">
        <v>1018492</v>
      </c>
      <c r="CH131">
        <v>3</v>
      </c>
      <c r="CI131">
        <v>402</v>
      </c>
      <c r="CJ131">
        <v>478480</v>
      </c>
      <c r="CK131">
        <v>4980091</v>
      </c>
      <c r="CL131">
        <v>816</v>
      </c>
      <c r="CM131">
        <v>492625</v>
      </c>
      <c r="CN131">
        <v>4977029</v>
      </c>
      <c r="CO131">
        <v>25080.74</v>
      </c>
      <c r="CP131">
        <v>39280.18</v>
      </c>
      <c r="CQ131">
        <v>25.080739999999999</v>
      </c>
      <c r="CR131">
        <v>39.280169999999998</v>
      </c>
      <c r="CS131">
        <f t="shared" ref="CS131:CS185" si="5">(BF131*D131)/N131</f>
        <v>973.86912751677858</v>
      </c>
    </row>
    <row r="132" spans="1:97">
      <c r="A132" t="s">
        <v>117</v>
      </c>
      <c r="B132" t="s">
        <v>182</v>
      </c>
      <c r="C132" t="s">
        <v>117</v>
      </c>
      <c r="D132">
        <v>2434</v>
      </c>
      <c r="E132">
        <v>1274</v>
      </c>
      <c r="F132">
        <v>624.5</v>
      </c>
      <c r="G132">
        <v>2289</v>
      </c>
      <c r="H132">
        <v>1198.0530000000001</v>
      </c>
      <c r="I132">
        <v>42685</v>
      </c>
      <c r="J132">
        <v>0.88</v>
      </c>
      <c r="K132">
        <v>227</v>
      </c>
      <c r="L132">
        <v>146</v>
      </c>
      <c r="M132">
        <v>207</v>
      </c>
      <c r="N132">
        <v>126</v>
      </c>
      <c r="O132">
        <v>414</v>
      </c>
      <c r="P132">
        <v>126</v>
      </c>
      <c r="Q132">
        <v>82</v>
      </c>
      <c r="R132">
        <v>0.3319838</v>
      </c>
      <c r="S132">
        <v>1.642857</v>
      </c>
      <c r="T132">
        <v>0.55645160000000005</v>
      </c>
      <c r="U132">
        <v>0.13120789999999999</v>
      </c>
      <c r="V132">
        <v>9.9749599999999994E-2</v>
      </c>
      <c r="W132">
        <v>0.90025040000000001</v>
      </c>
      <c r="X132">
        <v>1.3143E-2</v>
      </c>
      <c r="Y132" s="2">
        <f t="shared" si="4"/>
        <v>13.143000000000001</v>
      </c>
      <c r="Z132">
        <v>10220168</v>
      </c>
      <c r="AA132">
        <v>8022814</v>
      </c>
      <c r="AB132">
        <v>12054</v>
      </c>
      <c r="AC132">
        <v>1.27</v>
      </c>
      <c r="AD132">
        <v>0.28999999999999998</v>
      </c>
      <c r="AE132">
        <v>0.62</v>
      </c>
      <c r="AF132">
        <v>0</v>
      </c>
      <c r="AG132">
        <v>1903.69</v>
      </c>
      <c r="AH132">
        <v>25256.35</v>
      </c>
      <c r="AI132">
        <v>0</v>
      </c>
      <c r="AJ132">
        <v>27160</v>
      </c>
      <c r="AK132">
        <v>2</v>
      </c>
      <c r="AL132">
        <v>14</v>
      </c>
      <c r="AM132">
        <v>0</v>
      </c>
      <c r="AN132">
        <v>2</v>
      </c>
      <c r="AO132">
        <v>0</v>
      </c>
      <c r="AP132">
        <v>198</v>
      </c>
      <c r="AQ132">
        <v>0</v>
      </c>
      <c r="AR132">
        <v>7</v>
      </c>
      <c r="AS132">
        <v>0</v>
      </c>
      <c r="AT132">
        <v>0</v>
      </c>
      <c r="AU132">
        <v>0</v>
      </c>
      <c r="AV132">
        <v>1904</v>
      </c>
      <c r="AW132">
        <v>0</v>
      </c>
      <c r="AX132">
        <v>24082</v>
      </c>
      <c r="AY132">
        <v>0</v>
      </c>
      <c r="AZ132">
        <v>1174</v>
      </c>
      <c r="BA132">
        <v>0</v>
      </c>
      <c r="BB132">
        <v>0</v>
      </c>
      <c r="BC132">
        <v>68558</v>
      </c>
      <c r="BD132">
        <v>16</v>
      </c>
      <c r="BE132">
        <v>68310</v>
      </c>
      <c r="BF132">
        <v>45</v>
      </c>
      <c r="BG132">
        <v>30540</v>
      </c>
      <c r="BH132">
        <v>1249</v>
      </c>
      <c r="BI132">
        <v>24.451560000000001</v>
      </c>
      <c r="BJ132">
        <v>26.668150000000001</v>
      </c>
      <c r="BK132">
        <v>26.668150000000001</v>
      </c>
      <c r="BL132">
        <v>26.668150000000001</v>
      </c>
      <c r="BM132">
        <v>468590.2</v>
      </c>
      <c r="BN132">
        <v>4996112</v>
      </c>
      <c r="BO132">
        <v>59.298549999999999</v>
      </c>
      <c r="BP132">
        <v>1.9105989999999999</v>
      </c>
      <c r="BQ132">
        <v>1.8916800000000001E-2</v>
      </c>
      <c r="BR132">
        <v>31.036619999999999</v>
      </c>
      <c r="BS132">
        <v>1135695</v>
      </c>
      <c r="BT132">
        <v>582778.6</v>
      </c>
      <c r="BU132">
        <v>1068039</v>
      </c>
      <c r="BV132" s="1">
        <v>1894000000</v>
      </c>
      <c r="BW132" s="1">
        <v>4078000000</v>
      </c>
      <c r="BX132" s="1">
        <v>579600000</v>
      </c>
      <c r="BY132" s="1">
        <v>1186000000</v>
      </c>
      <c r="BZ132" s="1">
        <v>451600000</v>
      </c>
      <c r="CA132" s="1">
        <v>993000000</v>
      </c>
      <c r="CB132">
        <v>899246</v>
      </c>
      <c r="CC132">
        <v>1936592</v>
      </c>
      <c r="CD132">
        <v>522176</v>
      </c>
      <c r="CE132">
        <v>1068455</v>
      </c>
      <c r="CF132">
        <v>602922</v>
      </c>
      <c r="CG132">
        <v>1325644</v>
      </c>
      <c r="CH132">
        <v>3</v>
      </c>
      <c r="CI132">
        <v>402</v>
      </c>
      <c r="CJ132">
        <v>478480</v>
      </c>
      <c r="CK132">
        <v>4980091</v>
      </c>
      <c r="CL132">
        <v>816</v>
      </c>
      <c r="CM132">
        <v>492625</v>
      </c>
      <c r="CN132">
        <v>4977029</v>
      </c>
      <c r="CO132">
        <v>18827.240000000002</v>
      </c>
      <c r="CP132">
        <v>30688.99</v>
      </c>
      <c r="CQ132">
        <v>18.82724</v>
      </c>
      <c r="CR132">
        <v>30.68899</v>
      </c>
      <c r="CS132">
        <f t="shared" si="5"/>
        <v>869.28571428571433</v>
      </c>
    </row>
    <row r="133" spans="1:97">
      <c r="A133" t="s">
        <v>118</v>
      </c>
      <c r="B133" t="s">
        <v>158</v>
      </c>
      <c r="C133" t="s">
        <v>118</v>
      </c>
      <c r="D133">
        <v>421</v>
      </c>
      <c r="E133">
        <v>180</v>
      </c>
      <c r="F133">
        <v>109</v>
      </c>
      <c r="G133">
        <v>24</v>
      </c>
      <c r="H133">
        <v>10.25933</v>
      </c>
      <c r="I133">
        <v>102496</v>
      </c>
      <c r="J133">
        <v>0.87</v>
      </c>
      <c r="K133">
        <v>71</v>
      </c>
      <c r="L133">
        <v>69</v>
      </c>
      <c r="M133">
        <v>60</v>
      </c>
      <c r="N133">
        <v>58</v>
      </c>
      <c r="O133">
        <v>120</v>
      </c>
      <c r="P133">
        <v>58</v>
      </c>
      <c r="Q133">
        <v>3</v>
      </c>
      <c r="R133">
        <v>2.7026999999999999E-2</v>
      </c>
      <c r="S133">
        <v>1.034483</v>
      </c>
      <c r="T133">
        <v>0.35714289999999999</v>
      </c>
      <c r="U133">
        <v>0.22343589999999999</v>
      </c>
      <c r="V133">
        <v>0.80684480000000003</v>
      </c>
      <c r="W133">
        <v>0.1931552</v>
      </c>
      <c r="X133">
        <v>1.8148999999999998E-2</v>
      </c>
      <c r="Y133" s="2">
        <f t="shared" si="4"/>
        <v>18.148999999999997</v>
      </c>
      <c r="Z133">
        <v>15507046</v>
      </c>
      <c r="AA133">
        <v>9666730</v>
      </c>
      <c r="AB133">
        <v>11147</v>
      </c>
      <c r="AC133">
        <v>1.6</v>
      </c>
      <c r="AD133">
        <v>1.66</v>
      </c>
      <c r="AE133">
        <v>1.43</v>
      </c>
      <c r="AF133">
        <v>4</v>
      </c>
      <c r="AG133">
        <v>1961.81</v>
      </c>
      <c r="AH133">
        <v>11444.34</v>
      </c>
      <c r="AI133">
        <v>536</v>
      </c>
      <c r="AJ133">
        <v>13406</v>
      </c>
      <c r="AK133">
        <v>2</v>
      </c>
      <c r="AL133">
        <v>6</v>
      </c>
      <c r="AM133">
        <v>5</v>
      </c>
      <c r="AN133">
        <v>0</v>
      </c>
      <c r="AO133">
        <v>8</v>
      </c>
      <c r="AP133">
        <v>36</v>
      </c>
      <c r="AQ133">
        <v>0</v>
      </c>
      <c r="AR133">
        <v>10</v>
      </c>
      <c r="AS133">
        <v>1</v>
      </c>
      <c r="AT133">
        <v>0</v>
      </c>
      <c r="AU133">
        <v>536</v>
      </c>
      <c r="AV133">
        <v>0</v>
      </c>
      <c r="AW133">
        <v>1426</v>
      </c>
      <c r="AX133">
        <v>8941</v>
      </c>
      <c r="AY133">
        <v>0</v>
      </c>
      <c r="AZ133">
        <v>2377</v>
      </c>
      <c r="BA133">
        <v>126</v>
      </c>
      <c r="BB133">
        <v>0</v>
      </c>
      <c r="BC133">
        <v>76728</v>
      </c>
      <c r="BD133">
        <v>7</v>
      </c>
      <c r="BE133">
        <v>76728</v>
      </c>
      <c r="BF133">
        <v>293</v>
      </c>
      <c r="BG133">
        <v>5035</v>
      </c>
      <c r="BH133">
        <v>218</v>
      </c>
      <c r="BI133">
        <v>23.096329999999998</v>
      </c>
      <c r="BJ133">
        <v>29.771419999999999</v>
      </c>
      <c r="BK133">
        <v>29.771419999999999</v>
      </c>
      <c r="BL133">
        <v>29.771419999999999</v>
      </c>
      <c r="BM133">
        <v>503591.2</v>
      </c>
      <c r="BN133">
        <v>4987043</v>
      </c>
      <c r="BO133">
        <v>25.856339999999999</v>
      </c>
      <c r="BP133">
        <v>2.339334</v>
      </c>
      <c r="BQ133">
        <v>0.10633339999999999</v>
      </c>
      <c r="BR133">
        <v>11.05287</v>
      </c>
      <c r="BS133">
        <v>126089.2</v>
      </c>
      <c r="BT133">
        <v>65290.84</v>
      </c>
      <c r="BU133">
        <v>7187.982</v>
      </c>
      <c r="BV133" s="1">
        <v>1657000000</v>
      </c>
      <c r="BW133" s="1">
        <v>4459000000</v>
      </c>
      <c r="BX133" s="1">
        <v>469500000</v>
      </c>
      <c r="BY133" s="1">
        <v>1257000000</v>
      </c>
      <c r="BZ133">
        <v>37457835</v>
      </c>
      <c r="CA133" s="1">
        <v>110000000</v>
      </c>
      <c r="CB133">
        <v>655653</v>
      </c>
      <c r="CC133">
        <v>1764631</v>
      </c>
      <c r="CD133">
        <v>361131</v>
      </c>
      <c r="CE133">
        <v>967111</v>
      </c>
      <c r="CF133">
        <v>394293</v>
      </c>
      <c r="CG133">
        <v>1161500</v>
      </c>
      <c r="CH133">
        <v>3</v>
      </c>
      <c r="CI133">
        <v>402</v>
      </c>
      <c r="CJ133">
        <v>478480</v>
      </c>
      <c r="CK133">
        <v>4980091</v>
      </c>
      <c r="CL133">
        <v>816</v>
      </c>
      <c r="CM133">
        <v>492625</v>
      </c>
      <c r="CN133">
        <v>4977029</v>
      </c>
      <c r="CO133">
        <v>26055.78</v>
      </c>
      <c r="CP133">
        <v>14850.53</v>
      </c>
      <c r="CQ133">
        <v>26.055779999999999</v>
      </c>
      <c r="CR133">
        <v>14.850529999999999</v>
      </c>
      <c r="CS133">
        <f t="shared" si="5"/>
        <v>2126.7758620689656</v>
      </c>
    </row>
    <row r="134" spans="1:97">
      <c r="A134" t="s">
        <v>119</v>
      </c>
      <c r="B134" t="s">
        <v>182</v>
      </c>
      <c r="C134" t="s">
        <v>119</v>
      </c>
      <c r="D134">
        <v>65894</v>
      </c>
      <c r="E134">
        <v>721</v>
      </c>
      <c r="F134">
        <v>386.36259999999999</v>
      </c>
      <c r="G134">
        <v>53206</v>
      </c>
      <c r="H134">
        <v>582.26220000000001</v>
      </c>
      <c r="I134">
        <v>77008</v>
      </c>
      <c r="J134">
        <v>0.88</v>
      </c>
      <c r="K134">
        <v>3619</v>
      </c>
      <c r="L134">
        <v>3052</v>
      </c>
      <c r="M134">
        <v>3095</v>
      </c>
      <c r="N134">
        <v>2528</v>
      </c>
      <c r="O134">
        <v>6190</v>
      </c>
      <c r="P134">
        <v>2528</v>
      </c>
      <c r="Q134">
        <v>568</v>
      </c>
      <c r="R134">
        <v>0.112453</v>
      </c>
      <c r="S134">
        <v>1.224288</v>
      </c>
      <c r="T134">
        <v>0.40841909999999998</v>
      </c>
      <c r="U134">
        <v>0.18274670000000001</v>
      </c>
      <c r="V134">
        <v>0.2250876</v>
      </c>
      <c r="W134">
        <v>0.77491239999999995</v>
      </c>
      <c r="X134">
        <v>4.84E-4</v>
      </c>
      <c r="Y134" s="2">
        <f t="shared" si="4"/>
        <v>0.48399999999999999</v>
      </c>
      <c r="Z134">
        <v>80719642</v>
      </c>
      <c r="AA134">
        <v>60543184</v>
      </c>
      <c r="AB134">
        <v>12500</v>
      </c>
      <c r="AC134">
        <v>1.33</v>
      </c>
      <c r="AD134">
        <v>0.35</v>
      </c>
      <c r="AE134">
        <v>0.59</v>
      </c>
      <c r="AF134">
        <v>3.44</v>
      </c>
      <c r="AG134">
        <v>31489.360000000001</v>
      </c>
      <c r="AH134">
        <v>534111.69999999995</v>
      </c>
      <c r="AI134">
        <v>19447</v>
      </c>
      <c r="AJ134">
        <v>565601</v>
      </c>
      <c r="AK134">
        <v>91</v>
      </c>
      <c r="AL134">
        <v>6</v>
      </c>
      <c r="AM134">
        <v>43</v>
      </c>
      <c r="AN134">
        <v>0</v>
      </c>
      <c r="AO134">
        <v>30</v>
      </c>
      <c r="AP134">
        <v>2950</v>
      </c>
      <c r="AQ134">
        <v>0</v>
      </c>
      <c r="AR134">
        <v>67</v>
      </c>
      <c r="AS134">
        <v>5</v>
      </c>
      <c r="AT134">
        <v>0</v>
      </c>
      <c r="AU134">
        <v>19447</v>
      </c>
      <c r="AV134">
        <v>0</v>
      </c>
      <c r="AW134">
        <v>12042</v>
      </c>
      <c r="AX134">
        <v>515530</v>
      </c>
      <c r="AY134">
        <v>0</v>
      </c>
      <c r="AZ134">
        <v>15879</v>
      </c>
      <c r="BA134">
        <v>2702</v>
      </c>
      <c r="BB134">
        <v>0</v>
      </c>
      <c r="BC134">
        <v>2128539</v>
      </c>
      <c r="BD134">
        <v>329</v>
      </c>
      <c r="BE134">
        <v>2127422</v>
      </c>
      <c r="BF134">
        <v>52</v>
      </c>
      <c r="BG134">
        <v>809645</v>
      </c>
      <c r="BH134">
        <v>35159</v>
      </c>
      <c r="BI134">
        <v>23.028099999999998</v>
      </c>
      <c r="BJ134">
        <v>26.25863</v>
      </c>
      <c r="BK134">
        <v>26.25863</v>
      </c>
      <c r="BL134">
        <v>26.25863</v>
      </c>
      <c r="BM134">
        <v>463625.3</v>
      </c>
      <c r="BN134">
        <v>4985553</v>
      </c>
      <c r="BO134">
        <v>1117.4480000000001</v>
      </c>
      <c r="BP134">
        <v>91.378069999999994</v>
      </c>
      <c r="BQ134">
        <v>0.1216752</v>
      </c>
      <c r="BR134">
        <v>12.22884</v>
      </c>
      <c r="BS134">
        <v>568994.1</v>
      </c>
      <c r="BT134">
        <v>303597.59999999998</v>
      </c>
      <c r="BU134">
        <v>459433.3</v>
      </c>
      <c r="BV134" s="1">
        <v>51810000000</v>
      </c>
      <c r="BW134" s="1">
        <v>127300000000</v>
      </c>
      <c r="BX134" s="1">
        <v>19330000000</v>
      </c>
      <c r="BY134" s="1">
        <v>41750000000</v>
      </c>
      <c r="BZ134" s="1">
        <v>40250000000</v>
      </c>
      <c r="CA134" s="1">
        <v>82600000000</v>
      </c>
      <c r="CB134">
        <v>784348</v>
      </c>
      <c r="CC134">
        <v>1927836</v>
      </c>
      <c r="CD134">
        <v>520372</v>
      </c>
      <c r="CE134">
        <v>1123773</v>
      </c>
      <c r="CF134">
        <v>718821</v>
      </c>
      <c r="CG134">
        <v>1475160</v>
      </c>
      <c r="CH134">
        <v>3</v>
      </c>
      <c r="CI134">
        <v>402</v>
      </c>
      <c r="CJ134">
        <v>478480</v>
      </c>
      <c r="CK134">
        <v>4980091</v>
      </c>
      <c r="CL134">
        <v>816</v>
      </c>
      <c r="CM134">
        <v>492625</v>
      </c>
      <c r="CN134">
        <v>4977029</v>
      </c>
      <c r="CO134">
        <v>15827.07</v>
      </c>
      <c r="CP134">
        <v>30226.52</v>
      </c>
      <c r="CQ134">
        <v>15.827070000000001</v>
      </c>
      <c r="CR134">
        <v>30.226510000000001</v>
      </c>
      <c r="CS134">
        <f t="shared" si="5"/>
        <v>1355.4145569620252</v>
      </c>
    </row>
    <row r="135" spans="1:97">
      <c r="A135" t="s">
        <v>120</v>
      </c>
      <c r="B135" t="s">
        <v>255</v>
      </c>
      <c r="C135" t="s">
        <v>120</v>
      </c>
      <c r="D135">
        <v>15917</v>
      </c>
      <c r="E135">
        <v>390</v>
      </c>
      <c r="F135">
        <v>201.2927</v>
      </c>
      <c r="G135">
        <v>7989</v>
      </c>
      <c r="H135">
        <v>195.63399999999999</v>
      </c>
      <c r="I135">
        <v>75363</v>
      </c>
      <c r="J135">
        <v>0.89</v>
      </c>
      <c r="K135">
        <v>1144</v>
      </c>
      <c r="L135">
        <v>989</v>
      </c>
      <c r="M135">
        <v>910</v>
      </c>
      <c r="N135">
        <v>755</v>
      </c>
      <c r="O135">
        <v>1820</v>
      </c>
      <c r="P135">
        <v>755</v>
      </c>
      <c r="Q135">
        <v>156</v>
      </c>
      <c r="R135">
        <v>0.1036545</v>
      </c>
      <c r="S135">
        <v>1.205298</v>
      </c>
      <c r="T135">
        <v>0.4028331</v>
      </c>
      <c r="U135">
        <v>0.19473119999999999</v>
      </c>
      <c r="V135">
        <v>0.2931281</v>
      </c>
      <c r="W135">
        <v>0.7068719</v>
      </c>
      <c r="X135">
        <v>1.5989999999999999E-3</v>
      </c>
      <c r="Y135" s="2">
        <f t="shared" si="4"/>
        <v>1.599</v>
      </c>
      <c r="Z135">
        <v>62450123</v>
      </c>
      <c r="AA135">
        <v>41504002</v>
      </c>
      <c r="AB135">
        <v>12350</v>
      </c>
      <c r="AC135">
        <v>1.5</v>
      </c>
      <c r="AD135">
        <v>0.18</v>
      </c>
      <c r="AE135">
        <v>0.31</v>
      </c>
      <c r="AF135">
        <v>0</v>
      </c>
      <c r="AG135">
        <v>9692.25</v>
      </c>
      <c r="AH135">
        <v>167513.20000000001</v>
      </c>
      <c r="AI135">
        <v>0</v>
      </c>
      <c r="AJ135">
        <v>177205</v>
      </c>
      <c r="AK135">
        <v>41</v>
      </c>
      <c r="AL135">
        <v>4</v>
      </c>
      <c r="AM135">
        <v>0</v>
      </c>
      <c r="AN135">
        <v>0</v>
      </c>
      <c r="AO135">
        <v>25</v>
      </c>
      <c r="AP135">
        <v>885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9692</v>
      </c>
      <c r="AX135">
        <v>167513</v>
      </c>
      <c r="AY135">
        <v>0</v>
      </c>
      <c r="AZ135">
        <v>0</v>
      </c>
      <c r="BA135">
        <v>0</v>
      </c>
      <c r="BB135">
        <v>0</v>
      </c>
      <c r="BC135">
        <v>268637</v>
      </c>
      <c r="BD135">
        <v>99</v>
      </c>
      <c r="BE135">
        <v>247163</v>
      </c>
      <c r="BF135">
        <v>25</v>
      </c>
      <c r="BG135">
        <v>198045</v>
      </c>
      <c r="BH135">
        <v>8253</v>
      </c>
      <c r="BI135">
        <v>23.996729999999999</v>
      </c>
      <c r="BJ135">
        <v>26.046399999999998</v>
      </c>
      <c r="BK135">
        <v>26.046399999999998</v>
      </c>
      <c r="BL135">
        <v>26.046399999999998</v>
      </c>
      <c r="BM135">
        <v>465513.2</v>
      </c>
      <c r="BN135">
        <v>4952976</v>
      </c>
      <c r="BO135">
        <v>476.65339999999998</v>
      </c>
      <c r="BP135">
        <v>40.836460000000002</v>
      </c>
      <c r="BQ135">
        <v>0.13566929999999999</v>
      </c>
      <c r="BR135">
        <v>11.67225</v>
      </c>
      <c r="BS135">
        <v>237579.8</v>
      </c>
      <c r="BT135">
        <v>123185.7</v>
      </c>
      <c r="BU135">
        <v>119245.2</v>
      </c>
      <c r="BV135" s="1">
        <v>4879000000</v>
      </c>
      <c r="BW135" s="1">
        <v>14360000000</v>
      </c>
      <c r="BX135" s="1">
        <v>1888000000</v>
      </c>
      <c r="BY135" s="1">
        <v>5757000000</v>
      </c>
      <c r="BZ135" s="1">
        <v>870200000</v>
      </c>
      <c r="CA135" s="1">
        <v>4250000000</v>
      </c>
      <c r="CB135">
        <v>311930</v>
      </c>
      <c r="CC135">
        <v>918055</v>
      </c>
      <c r="CD135">
        <v>221119</v>
      </c>
      <c r="CE135">
        <v>674146</v>
      </c>
      <c r="CF135">
        <v>108665</v>
      </c>
      <c r="CG135">
        <v>530698</v>
      </c>
      <c r="CH135">
        <v>3</v>
      </c>
      <c r="CI135">
        <v>402</v>
      </c>
      <c r="CJ135">
        <v>478480</v>
      </c>
      <c r="CK135">
        <v>4980091</v>
      </c>
      <c r="CL135">
        <v>816</v>
      </c>
      <c r="CM135">
        <v>492625</v>
      </c>
      <c r="CN135">
        <v>4977029</v>
      </c>
      <c r="CO135">
        <v>30056.44</v>
      </c>
      <c r="CP135">
        <v>36243.94</v>
      </c>
      <c r="CQ135">
        <v>30.056439999999998</v>
      </c>
      <c r="CR135">
        <v>36.243940000000002</v>
      </c>
      <c r="CS135">
        <f t="shared" si="5"/>
        <v>527.05298013245033</v>
      </c>
    </row>
    <row r="136" spans="1:97">
      <c r="A136" t="s">
        <v>21</v>
      </c>
      <c r="B136" t="s">
        <v>160</v>
      </c>
      <c r="C136" t="s">
        <v>21</v>
      </c>
      <c r="D136">
        <v>18510</v>
      </c>
      <c r="E136">
        <v>240</v>
      </c>
      <c r="F136">
        <v>130.19479999999999</v>
      </c>
      <c r="G136">
        <v>3901</v>
      </c>
      <c r="H136">
        <v>50.49821</v>
      </c>
      <c r="I136">
        <v>68988</v>
      </c>
      <c r="J136">
        <v>0.88</v>
      </c>
      <c r="K136">
        <v>1593</v>
      </c>
      <c r="L136">
        <v>1324</v>
      </c>
      <c r="M136">
        <v>1326</v>
      </c>
      <c r="N136">
        <v>1057</v>
      </c>
      <c r="O136">
        <v>2652</v>
      </c>
      <c r="P136">
        <v>1057</v>
      </c>
      <c r="Q136">
        <v>270</v>
      </c>
      <c r="R136">
        <v>0.12802279999999999</v>
      </c>
      <c r="S136">
        <v>1.254494</v>
      </c>
      <c r="T136">
        <v>0.41895739999999998</v>
      </c>
      <c r="U136">
        <v>0.23615530000000001</v>
      </c>
      <c r="V136">
        <v>0.2207276</v>
      </c>
      <c r="W136">
        <v>0.77927239999999998</v>
      </c>
      <c r="X136">
        <v>1.188E-3</v>
      </c>
      <c r="Y136" s="2">
        <f t="shared" si="4"/>
        <v>1.1879999999999999</v>
      </c>
      <c r="Z136">
        <v>79256040</v>
      </c>
      <c r="AA136">
        <v>56667651</v>
      </c>
      <c r="AB136">
        <v>12500</v>
      </c>
      <c r="AC136">
        <v>1.4</v>
      </c>
      <c r="AD136">
        <v>0.39</v>
      </c>
      <c r="AE136">
        <v>0.44</v>
      </c>
      <c r="AF136">
        <v>0</v>
      </c>
      <c r="AG136">
        <v>20180.36</v>
      </c>
      <c r="AH136">
        <v>292961.59999999998</v>
      </c>
      <c r="AI136">
        <v>0</v>
      </c>
      <c r="AJ136">
        <v>313142</v>
      </c>
      <c r="AK136">
        <v>77</v>
      </c>
      <c r="AL136">
        <v>4</v>
      </c>
      <c r="AM136">
        <v>0</v>
      </c>
      <c r="AN136">
        <v>44</v>
      </c>
      <c r="AO136">
        <v>29</v>
      </c>
      <c r="AP136">
        <v>1249</v>
      </c>
      <c r="AQ136">
        <v>0</v>
      </c>
      <c r="AR136">
        <v>4</v>
      </c>
      <c r="AS136">
        <v>0</v>
      </c>
      <c r="AT136">
        <v>0</v>
      </c>
      <c r="AU136">
        <v>0</v>
      </c>
      <c r="AV136">
        <v>11227</v>
      </c>
      <c r="AW136">
        <v>8954</v>
      </c>
      <c r="AX136">
        <v>292001</v>
      </c>
      <c r="AY136">
        <v>0</v>
      </c>
      <c r="AZ136">
        <v>961</v>
      </c>
      <c r="BA136">
        <v>0</v>
      </c>
      <c r="BB136">
        <v>0</v>
      </c>
      <c r="BC136">
        <v>455474</v>
      </c>
      <c r="BD136">
        <v>183</v>
      </c>
      <c r="BE136">
        <v>458468</v>
      </c>
      <c r="BF136">
        <v>40</v>
      </c>
      <c r="BG136">
        <v>301970</v>
      </c>
      <c r="BH136">
        <v>10025</v>
      </c>
      <c r="BI136">
        <v>30.121700000000001</v>
      </c>
      <c r="BJ136">
        <v>26.61374</v>
      </c>
      <c r="BK136">
        <v>26.61374</v>
      </c>
      <c r="BL136">
        <v>26.61374</v>
      </c>
      <c r="BM136">
        <v>464744.3</v>
      </c>
      <c r="BN136">
        <v>5012122</v>
      </c>
      <c r="BO136">
        <v>744.20830000000001</v>
      </c>
      <c r="BP136">
        <v>77.25027</v>
      </c>
      <c r="BQ136">
        <v>0.1893389</v>
      </c>
      <c r="BR136">
        <v>9.6337299999999999</v>
      </c>
      <c r="BS136">
        <v>176486.5</v>
      </c>
      <c r="BT136">
        <v>95584.95</v>
      </c>
      <c r="BU136">
        <v>37194.699999999997</v>
      </c>
      <c r="BV136" s="1">
        <v>4342000000</v>
      </c>
      <c r="BW136" s="1">
        <v>12960000000</v>
      </c>
      <c r="BX136" s="1">
        <v>1898000000</v>
      </c>
      <c r="BY136" s="1">
        <v>5598000000</v>
      </c>
      <c r="BZ136" s="1">
        <v>397600000</v>
      </c>
      <c r="CA136" s="1">
        <v>1660000000</v>
      </c>
      <c r="CB136">
        <v>233335</v>
      </c>
      <c r="CC136">
        <v>696197</v>
      </c>
      <c r="CD136">
        <v>179126</v>
      </c>
      <c r="CE136">
        <v>528287</v>
      </c>
      <c r="CF136">
        <v>99208</v>
      </c>
      <c r="CG136">
        <v>414444</v>
      </c>
      <c r="CH136">
        <v>3</v>
      </c>
      <c r="CI136">
        <v>402</v>
      </c>
      <c r="CJ136">
        <v>478480</v>
      </c>
      <c r="CK136">
        <v>4980091</v>
      </c>
      <c r="CL136">
        <v>816</v>
      </c>
      <c r="CM136">
        <v>492625</v>
      </c>
      <c r="CN136">
        <v>4977029</v>
      </c>
      <c r="CO136">
        <v>34851.89</v>
      </c>
      <c r="CP136">
        <v>44820.21</v>
      </c>
      <c r="CQ136">
        <v>34.851889999999997</v>
      </c>
      <c r="CR136">
        <v>44.820210000000003</v>
      </c>
      <c r="CS136">
        <f t="shared" si="5"/>
        <v>700.47303689687794</v>
      </c>
    </row>
    <row r="137" spans="1:97">
      <c r="A137" t="s">
        <v>22</v>
      </c>
      <c r="B137" t="s">
        <v>163</v>
      </c>
      <c r="C137" t="s">
        <v>22</v>
      </c>
      <c r="D137">
        <v>318</v>
      </c>
      <c r="E137">
        <v>124</v>
      </c>
      <c r="F137">
        <v>47</v>
      </c>
      <c r="G137">
        <v>109</v>
      </c>
      <c r="H137">
        <v>42.56409</v>
      </c>
      <c r="I137">
        <v>42750</v>
      </c>
      <c r="J137">
        <v>0.88</v>
      </c>
      <c r="K137">
        <v>67</v>
      </c>
      <c r="L137">
        <v>58</v>
      </c>
      <c r="M137">
        <v>50</v>
      </c>
      <c r="N137">
        <v>41</v>
      </c>
      <c r="O137">
        <v>100</v>
      </c>
      <c r="P137">
        <v>41</v>
      </c>
      <c r="Q137">
        <v>10</v>
      </c>
      <c r="R137">
        <v>0.12987009999999999</v>
      </c>
      <c r="S137">
        <v>1.2195119999999999</v>
      </c>
      <c r="T137">
        <v>0.42735040000000002</v>
      </c>
      <c r="U137">
        <v>0.19883480000000001</v>
      </c>
      <c r="V137">
        <v>0.58751609999999999</v>
      </c>
      <c r="W137">
        <v>0.41248390000000001</v>
      </c>
      <c r="X137">
        <v>3.0488000000000001E-2</v>
      </c>
      <c r="Y137" s="2">
        <f t="shared" si="4"/>
        <v>30.488</v>
      </c>
      <c r="Z137">
        <v>11087574</v>
      </c>
      <c r="AA137">
        <v>7783622</v>
      </c>
      <c r="AB137">
        <v>12500</v>
      </c>
      <c r="AC137">
        <v>1.42</v>
      </c>
      <c r="AD137">
        <v>0.28000000000000003</v>
      </c>
      <c r="AE137">
        <v>0.7</v>
      </c>
      <c r="AF137">
        <v>0</v>
      </c>
      <c r="AG137">
        <v>1206.4100000000001</v>
      </c>
      <c r="AH137">
        <v>8735.33</v>
      </c>
      <c r="AI137">
        <v>0</v>
      </c>
      <c r="AJ137">
        <v>9942</v>
      </c>
      <c r="AK137">
        <v>3</v>
      </c>
      <c r="AL137">
        <v>4</v>
      </c>
      <c r="AM137">
        <v>0</v>
      </c>
      <c r="AN137">
        <v>0</v>
      </c>
      <c r="AO137">
        <v>1</v>
      </c>
      <c r="AP137">
        <v>48</v>
      </c>
      <c r="AQ137">
        <v>0</v>
      </c>
      <c r="AR137">
        <v>0</v>
      </c>
      <c r="AS137">
        <v>1</v>
      </c>
      <c r="AT137">
        <v>0</v>
      </c>
      <c r="AU137">
        <v>0</v>
      </c>
      <c r="AV137">
        <v>0</v>
      </c>
      <c r="AW137">
        <v>1206</v>
      </c>
      <c r="AX137">
        <v>8490</v>
      </c>
      <c r="AY137">
        <v>0</v>
      </c>
      <c r="AZ137">
        <v>0</v>
      </c>
      <c r="BA137">
        <v>246</v>
      </c>
      <c r="BB137">
        <v>0</v>
      </c>
      <c r="BC137">
        <v>3662</v>
      </c>
      <c r="BD137">
        <v>5</v>
      </c>
      <c r="BE137">
        <v>3636</v>
      </c>
      <c r="BF137">
        <v>18</v>
      </c>
      <c r="BG137">
        <v>3185</v>
      </c>
      <c r="BH137">
        <v>141</v>
      </c>
      <c r="BI137">
        <v>22.588650000000001</v>
      </c>
      <c r="BJ137">
        <v>29.933019999999999</v>
      </c>
      <c r="BK137">
        <v>29.933019999999999</v>
      </c>
      <c r="BL137">
        <v>29.933019999999999</v>
      </c>
      <c r="BM137">
        <v>498422.7</v>
      </c>
      <c r="BN137">
        <v>4930294</v>
      </c>
      <c r="BO137">
        <v>37.756279999999997</v>
      </c>
      <c r="BP137">
        <v>2.5608439999999999</v>
      </c>
      <c r="BQ137">
        <v>7.7601299999999998E-2</v>
      </c>
      <c r="BR137">
        <v>14.743690000000001</v>
      </c>
      <c r="BS137">
        <v>111538.1</v>
      </c>
      <c r="BT137">
        <v>49455.56</v>
      </c>
      <c r="BU137">
        <v>38231.599999999999</v>
      </c>
      <c r="CH137">
        <v>1</v>
      </c>
      <c r="CI137">
        <v>402</v>
      </c>
      <c r="CJ137">
        <v>478480</v>
      </c>
      <c r="CK137">
        <v>4980091</v>
      </c>
      <c r="CL137">
        <v>816</v>
      </c>
      <c r="CM137">
        <v>492625</v>
      </c>
      <c r="CN137">
        <v>4977029</v>
      </c>
      <c r="CO137">
        <v>53641.9</v>
      </c>
      <c r="CP137">
        <v>47093.25</v>
      </c>
      <c r="CQ137">
        <v>53.6419</v>
      </c>
      <c r="CR137">
        <v>47.093249999999998</v>
      </c>
      <c r="CS137">
        <f t="shared" si="5"/>
        <v>139.60975609756099</v>
      </c>
    </row>
    <row r="138" spans="1:97">
      <c r="A138" t="s">
        <v>23</v>
      </c>
      <c r="B138" t="s">
        <v>163</v>
      </c>
      <c r="C138" t="s">
        <v>23</v>
      </c>
      <c r="D138">
        <v>536</v>
      </c>
      <c r="E138">
        <v>20</v>
      </c>
      <c r="F138">
        <v>12.740740000000001</v>
      </c>
      <c r="G138">
        <v>116</v>
      </c>
      <c r="H138">
        <v>4.2241210000000002</v>
      </c>
      <c r="I138">
        <v>62222</v>
      </c>
      <c r="J138">
        <v>0.89</v>
      </c>
      <c r="K138">
        <v>102</v>
      </c>
      <c r="L138">
        <v>97</v>
      </c>
      <c r="M138">
        <v>72</v>
      </c>
      <c r="N138">
        <v>67</v>
      </c>
      <c r="O138">
        <v>144</v>
      </c>
      <c r="P138">
        <v>67</v>
      </c>
      <c r="Q138">
        <v>6</v>
      </c>
      <c r="R138">
        <v>4.65116E-2</v>
      </c>
      <c r="S138">
        <v>1.074627</v>
      </c>
      <c r="T138">
        <v>0.36923080000000003</v>
      </c>
      <c r="U138">
        <v>0.61804190000000003</v>
      </c>
      <c r="V138">
        <v>0.36039959999999999</v>
      </c>
      <c r="W138">
        <v>0.63960039999999996</v>
      </c>
      <c r="X138">
        <v>1.6282000000000001E-2</v>
      </c>
      <c r="Y138" s="2">
        <f t="shared" si="4"/>
        <v>16.282</v>
      </c>
      <c r="Z138">
        <v>43403914</v>
      </c>
      <c r="AA138">
        <v>32715899</v>
      </c>
      <c r="AB138">
        <v>10384</v>
      </c>
      <c r="AC138">
        <v>1.33</v>
      </c>
      <c r="AD138">
        <v>0.86</v>
      </c>
      <c r="AE138">
        <v>0.68</v>
      </c>
      <c r="AF138">
        <v>0</v>
      </c>
      <c r="AG138">
        <v>3655.91</v>
      </c>
      <c r="AH138">
        <v>40843.11</v>
      </c>
      <c r="AI138">
        <v>0</v>
      </c>
      <c r="AJ138">
        <v>44499</v>
      </c>
      <c r="AK138">
        <v>27</v>
      </c>
      <c r="AL138">
        <v>2</v>
      </c>
      <c r="AM138">
        <v>0</v>
      </c>
      <c r="AN138">
        <v>4</v>
      </c>
      <c r="AO138">
        <v>1</v>
      </c>
      <c r="AP138">
        <v>60</v>
      </c>
      <c r="AQ138">
        <v>0</v>
      </c>
      <c r="AR138">
        <v>0</v>
      </c>
      <c r="AS138">
        <v>7</v>
      </c>
      <c r="AT138">
        <v>0</v>
      </c>
      <c r="AU138">
        <v>0</v>
      </c>
      <c r="AV138">
        <v>3335</v>
      </c>
      <c r="AW138">
        <v>321</v>
      </c>
      <c r="AX138">
        <v>39072</v>
      </c>
      <c r="AY138">
        <v>0</v>
      </c>
      <c r="AZ138">
        <v>0</v>
      </c>
      <c r="BA138">
        <v>1771</v>
      </c>
      <c r="BB138">
        <v>0</v>
      </c>
      <c r="BC138">
        <v>0</v>
      </c>
      <c r="BD138">
        <v>0</v>
      </c>
      <c r="BE138">
        <v>59903</v>
      </c>
      <c r="BF138">
        <v>180</v>
      </c>
      <c r="BG138">
        <v>9505</v>
      </c>
      <c r="BH138">
        <v>344</v>
      </c>
      <c r="BI138">
        <v>27.63081</v>
      </c>
      <c r="BJ138">
        <v>30.064</v>
      </c>
      <c r="BK138">
        <v>30.064</v>
      </c>
      <c r="BL138">
        <v>30.064</v>
      </c>
      <c r="BM138">
        <v>502043.5</v>
      </c>
      <c r="BN138">
        <v>4930676</v>
      </c>
      <c r="BO138">
        <v>150.65119999999999</v>
      </c>
      <c r="BP138">
        <v>27.461259999999999</v>
      </c>
      <c r="BQ138">
        <v>0.49929560000000001</v>
      </c>
      <c r="BR138">
        <v>5.4859559999999998</v>
      </c>
      <c r="BS138">
        <v>20388.439999999999</v>
      </c>
      <c r="BT138">
        <v>13085.12</v>
      </c>
      <c r="BU138">
        <v>4412.424</v>
      </c>
      <c r="CH138">
        <v>1</v>
      </c>
      <c r="CI138">
        <v>402</v>
      </c>
      <c r="CJ138">
        <v>478480</v>
      </c>
      <c r="CK138">
        <v>4980091</v>
      </c>
      <c r="CL138">
        <v>816</v>
      </c>
      <c r="CM138">
        <v>492625</v>
      </c>
      <c r="CN138">
        <v>4977029</v>
      </c>
      <c r="CO138">
        <v>54745.61</v>
      </c>
      <c r="CP138">
        <v>47300.2</v>
      </c>
      <c r="CQ138">
        <v>54.745609999999999</v>
      </c>
      <c r="CR138">
        <v>47.300199999999997</v>
      </c>
      <c r="CS138">
        <f t="shared" si="5"/>
        <v>1440</v>
      </c>
    </row>
    <row r="139" spans="1:97">
      <c r="A139" t="s">
        <v>24</v>
      </c>
      <c r="B139" t="s">
        <v>163</v>
      </c>
      <c r="C139" t="s">
        <v>24</v>
      </c>
      <c r="D139">
        <v>2355</v>
      </c>
      <c r="E139">
        <v>41</v>
      </c>
      <c r="F139">
        <v>22.543859999999999</v>
      </c>
      <c r="G139">
        <v>103</v>
      </c>
      <c r="H139">
        <v>1.8146340000000001</v>
      </c>
      <c r="I139">
        <v>74286</v>
      </c>
      <c r="J139">
        <v>0.89</v>
      </c>
      <c r="K139">
        <v>192</v>
      </c>
      <c r="L139">
        <v>164</v>
      </c>
      <c r="M139">
        <v>148</v>
      </c>
      <c r="N139">
        <v>120</v>
      </c>
      <c r="O139">
        <v>296</v>
      </c>
      <c r="P139">
        <v>120</v>
      </c>
      <c r="Q139">
        <v>29</v>
      </c>
      <c r="R139">
        <v>0.12340429999999999</v>
      </c>
      <c r="S139">
        <v>1.233333</v>
      </c>
      <c r="T139">
        <v>0.41807909999999998</v>
      </c>
      <c r="U139">
        <v>0.58229660000000005</v>
      </c>
      <c r="V139">
        <v>0.31072899999999998</v>
      </c>
      <c r="W139">
        <v>0.68927099999999997</v>
      </c>
      <c r="X139">
        <v>1.0364E-2</v>
      </c>
      <c r="Y139" s="2">
        <f t="shared" si="4"/>
        <v>10.364000000000001</v>
      </c>
      <c r="Z139">
        <v>67504149</v>
      </c>
      <c r="AA139">
        <v>47460913</v>
      </c>
      <c r="AB139">
        <v>12500</v>
      </c>
      <c r="AC139">
        <v>1.42</v>
      </c>
      <c r="AD139">
        <v>0.55000000000000004</v>
      </c>
      <c r="AE139">
        <v>0.33</v>
      </c>
      <c r="AF139">
        <v>0</v>
      </c>
      <c r="AG139">
        <v>0</v>
      </c>
      <c r="AH139">
        <v>86179.9</v>
      </c>
      <c r="AI139">
        <v>0</v>
      </c>
      <c r="AJ139">
        <v>86180</v>
      </c>
      <c r="AK139">
        <v>57</v>
      </c>
      <c r="AL139">
        <v>2</v>
      </c>
      <c r="AM139">
        <v>0</v>
      </c>
      <c r="AN139">
        <v>0</v>
      </c>
      <c r="AO139">
        <v>0</v>
      </c>
      <c r="AP139">
        <v>129</v>
      </c>
      <c r="AQ139">
        <v>0</v>
      </c>
      <c r="AR139">
        <v>0</v>
      </c>
      <c r="AS139">
        <v>19</v>
      </c>
      <c r="AT139">
        <v>0</v>
      </c>
      <c r="AU139">
        <v>0</v>
      </c>
      <c r="AV139">
        <v>0</v>
      </c>
      <c r="AW139">
        <v>0</v>
      </c>
      <c r="AX139">
        <v>80984</v>
      </c>
      <c r="AY139">
        <v>0</v>
      </c>
      <c r="AZ139">
        <v>0</v>
      </c>
      <c r="BA139">
        <v>5196</v>
      </c>
      <c r="BB139">
        <v>0</v>
      </c>
      <c r="BC139">
        <v>0</v>
      </c>
      <c r="BD139">
        <v>0</v>
      </c>
      <c r="BE139">
        <v>52429</v>
      </c>
      <c r="BF139">
        <v>36</v>
      </c>
      <c r="BG139">
        <v>39545</v>
      </c>
      <c r="BH139">
        <v>1285</v>
      </c>
      <c r="BI139">
        <v>30.774319999999999</v>
      </c>
      <c r="BJ139">
        <v>27.11966</v>
      </c>
      <c r="BK139">
        <v>27.11966</v>
      </c>
      <c r="BL139">
        <v>27.11966</v>
      </c>
      <c r="BM139">
        <v>518456.2</v>
      </c>
      <c r="BN139">
        <v>4947786</v>
      </c>
      <c r="BO139">
        <v>296.71629999999999</v>
      </c>
      <c r="BP139">
        <v>56.760429999999999</v>
      </c>
      <c r="BQ139">
        <v>0.82261479999999998</v>
      </c>
      <c r="BR139">
        <v>5.2275200000000002</v>
      </c>
      <c r="BS139">
        <v>30683.86</v>
      </c>
      <c r="BT139">
        <v>16742.580000000002</v>
      </c>
      <c r="BU139">
        <v>1342.0119999999999</v>
      </c>
      <c r="BV139">
        <v>76117405</v>
      </c>
      <c r="BW139" s="1">
        <v>469200000</v>
      </c>
      <c r="BX139">
        <v>22619041</v>
      </c>
      <c r="BY139" s="1">
        <v>148800000</v>
      </c>
      <c r="BZ139">
        <v>1252925</v>
      </c>
      <c r="CA139">
        <v>7041335</v>
      </c>
      <c r="CB139">
        <v>33845</v>
      </c>
      <c r="CC139">
        <v>208645</v>
      </c>
      <c r="CD139">
        <v>18159</v>
      </c>
      <c r="CE139">
        <v>119483</v>
      </c>
      <c r="CF139">
        <v>10895</v>
      </c>
      <c r="CG139">
        <v>61229</v>
      </c>
      <c r="CH139">
        <v>3</v>
      </c>
      <c r="CI139">
        <v>402</v>
      </c>
      <c r="CJ139">
        <v>478480</v>
      </c>
      <c r="CK139">
        <v>4980091</v>
      </c>
      <c r="CL139">
        <v>816</v>
      </c>
      <c r="CM139">
        <v>492625</v>
      </c>
      <c r="CN139">
        <v>4977029</v>
      </c>
      <c r="CO139">
        <v>51397.58</v>
      </c>
      <c r="CP139">
        <v>39018.01</v>
      </c>
      <c r="CQ139">
        <v>51.397579999999998</v>
      </c>
      <c r="CR139">
        <v>39.018009999999997</v>
      </c>
      <c r="CS139">
        <f t="shared" si="5"/>
        <v>706.5</v>
      </c>
    </row>
    <row r="140" spans="1:97">
      <c r="A140" t="s">
        <v>25</v>
      </c>
      <c r="B140" t="s">
        <v>182</v>
      </c>
      <c r="C140" t="s">
        <v>25</v>
      </c>
      <c r="D140">
        <v>34439</v>
      </c>
      <c r="E140">
        <v>1856</v>
      </c>
      <c r="F140">
        <v>983.05259999999998</v>
      </c>
      <c r="G140">
        <v>11565</v>
      </c>
      <c r="H140">
        <v>623.14610000000005</v>
      </c>
      <c r="I140">
        <v>45519</v>
      </c>
      <c r="J140">
        <v>0.82</v>
      </c>
      <c r="K140">
        <v>1808</v>
      </c>
      <c r="L140">
        <v>1151</v>
      </c>
      <c r="M140">
        <v>1608</v>
      </c>
      <c r="N140">
        <v>951</v>
      </c>
      <c r="O140">
        <v>3216</v>
      </c>
      <c r="P140">
        <v>951</v>
      </c>
      <c r="Q140">
        <v>658</v>
      </c>
      <c r="R140">
        <v>0.34686349999999999</v>
      </c>
      <c r="S140">
        <v>1.690852</v>
      </c>
      <c r="T140">
        <v>0.564805</v>
      </c>
      <c r="U140">
        <v>0.1529604</v>
      </c>
      <c r="V140">
        <v>4.1515200000000002E-2</v>
      </c>
      <c r="W140">
        <v>0.95848480000000003</v>
      </c>
      <c r="X140">
        <v>1.7799999999999999E-3</v>
      </c>
      <c r="Y140" s="2">
        <f t="shared" si="4"/>
        <v>1.7799999999999998</v>
      </c>
      <c r="Z140">
        <v>38595346</v>
      </c>
      <c r="AA140">
        <v>30536987</v>
      </c>
      <c r="AB140">
        <v>12154</v>
      </c>
      <c r="AC140">
        <v>1.26</v>
      </c>
      <c r="AD140">
        <v>0.4</v>
      </c>
      <c r="AE140">
        <v>0.52</v>
      </c>
      <c r="AF140">
        <v>5.66</v>
      </c>
      <c r="AG140">
        <v>13916.82</v>
      </c>
      <c r="AH140">
        <v>232043.6</v>
      </c>
      <c r="AI140">
        <v>13917</v>
      </c>
      <c r="AJ140">
        <v>245960</v>
      </c>
      <c r="AK140">
        <v>19</v>
      </c>
      <c r="AL140">
        <v>13</v>
      </c>
      <c r="AM140">
        <v>53</v>
      </c>
      <c r="AN140">
        <v>0</v>
      </c>
      <c r="AO140">
        <v>0</v>
      </c>
      <c r="AP140">
        <v>1513</v>
      </c>
      <c r="AQ140">
        <v>0</v>
      </c>
      <c r="AR140">
        <v>37</v>
      </c>
      <c r="AS140">
        <v>5</v>
      </c>
      <c r="AT140">
        <v>0</v>
      </c>
      <c r="AU140">
        <v>13917</v>
      </c>
      <c r="AV140">
        <v>0</v>
      </c>
      <c r="AW140">
        <v>0</v>
      </c>
      <c r="AX140">
        <v>224222</v>
      </c>
      <c r="AY140">
        <v>0</v>
      </c>
      <c r="AZ140">
        <v>7652</v>
      </c>
      <c r="BA140">
        <v>170</v>
      </c>
      <c r="BB140">
        <v>0</v>
      </c>
      <c r="BC140">
        <v>956387</v>
      </c>
      <c r="BD140">
        <v>145</v>
      </c>
      <c r="BE140">
        <v>1198305</v>
      </c>
      <c r="BF140">
        <v>56</v>
      </c>
      <c r="BG140">
        <v>384980</v>
      </c>
      <c r="BH140">
        <v>18678</v>
      </c>
      <c r="BI140">
        <v>20.611409999999999</v>
      </c>
      <c r="BJ140">
        <v>26.818300000000001</v>
      </c>
      <c r="BK140">
        <v>26.818300000000001</v>
      </c>
      <c r="BL140">
        <v>26.818300000000001</v>
      </c>
      <c r="BM140">
        <v>477731.2</v>
      </c>
      <c r="BN140">
        <v>4969283</v>
      </c>
      <c r="BO140">
        <v>494.63069999999999</v>
      </c>
      <c r="BP140">
        <v>18.559049999999999</v>
      </c>
      <c r="BQ140">
        <v>2.5920499999999999E-2</v>
      </c>
      <c r="BR140">
        <v>26.651720000000001</v>
      </c>
      <c r="BS140">
        <v>1699524</v>
      </c>
      <c r="BT140">
        <v>921737.2</v>
      </c>
      <c r="BU140">
        <v>570719.1</v>
      </c>
      <c r="BV140" s="1">
        <v>47840000000</v>
      </c>
      <c r="BW140" s="1">
        <v>84930000000</v>
      </c>
      <c r="BX140" s="1">
        <v>15140000000</v>
      </c>
      <c r="BY140" s="1">
        <v>25580000000</v>
      </c>
      <c r="BZ140" s="1">
        <v>13480000000</v>
      </c>
      <c r="CA140" s="1">
        <v>19300000000</v>
      </c>
      <c r="CB140">
        <v>1385160</v>
      </c>
      <c r="CC140">
        <v>2459089</v>
      </c>
      <c r="CD140">
        <v>786971</v>
      </c>
      <c r="CE140">
        <v>1329055</v>
      </c>
      <c r="CF140">
        <v>1150901</v>
      </c>
      <c r="CG140">
        <v>1650122</v>
      </c>
      <c r="CH140">
        <v>3</v>
      </c>
      <c r="CI140">
        <v>402</v>
      </c>
      <c r="CJ140">
        <v>478480</v>
      </c>
      <c r="CK140">
        <v>4980091</v>
      </c>
      <c r="CL140">
        <v>816</v>
      </c>
      <c r="CM140">
        <v>492625</v>
      </c>
      <c r="CN140">
        <v>4977029</v>
      </c>
      <c r="CO140">
        <v>10833.91</v>
      </c>
      <c r="CP140">
        <v>16787.68</v>
      </c>
      <c r="CQ140">
        <v>10.833909999999999</v>
      </c>
      <c r="CR140">
        <v>16.787680000000002</v>
      </c>
      <c r="CS140">
        <f t="shared" si="5"/>
        <v>2027.9537329127234</v>
      </c>
    </row>
    <row r="141" spans="1:97">
      <c r="A141" t="s">
        <v>26</v>
      </c>
      <c r="B141" t="s">
        <v>182</v>
      </c>
      <c r="C141" t="s">
        <v>26</v>
      </c>
      <c r="D141">
        <v>14123</v>
      </c>
      <c r="E141">
        <v>1839</v>
      </c>
      <c r="F141">
        <v>898</v>
      </c>
      <c r="G141">
        <v>7080</v>
      </c>
      <c r="H141">
        <v>921.66</v>
      </c>
      <c r="I141">
        <v>48271</v>
      </c>
      <c r="J141">
        <v>0.81</v>
      </c>
      <c r="K141">
        <v>794</v>
      </c>
      <c r="L141">
        <v>560</v>
      </c>
      <c r="M141">
        <v>692</v>
      </c>
      <c r="N141">
        <v>458</v>
      </c>
      <c r="O141">
        <v>1384</v>
      </c>
      <c r="P141">
        <v>458</v>
      </c>
      <c r="Q141">
        <v>235</v>
      </c>
      <c r="R141">
        <v>0.25795829999999997</v>
      </c>
      <c r="S141">
        <v>1.5109170000000001</v>
      </c>
      <c r="T141">
        <v>0.50584790000000002</v>
      </c>
      <c r="U141">
        <v>0.14776400000000001</v>
      </c>
      <c r="V141">
        <v>0.1132379</v>
      </c>
      <c r="W141">
        <v>0.8867621</v>
      </c>
      <c r="X141">
        <v>3.3059999999999999E-3</v>
      </c>
      <c r="Y141" s="2">
        <f t="shared" si="4"/>
        <v>3.306</v>
      </c>
      <c r="Z141">
        <v>25712079</v>
      </c>
      <c r="AA141">
        <v>19780154</v>
      </c>
      <c r="AB141">
        <v>12400</v>
      </c>
      <c r="AC141">
        <v>1.3</v>
      </c>
      <c r="AD141">
        <v>0.25</v>
      </c>
      <c r="AE141">
        <v>0.28999999999999998</v>
      </c>
      <c r="AF141">
        <v>2.63</v>
      </c>
      <c r="AG141">
        <v>2686.37</v>
      </c>
      <c r="AH141">
        <v>99566.29</v>
      </c>
      <c r="AI141">
        <v>2686</v>
      </c>
      <c r="AJ141">
        <v>102253</v>
      </c>
      <c r="AK141">
        <v>8</v>
      </c>
      <c r="AL141">
        <v>13</v>
      </c>
      <c r="AM141">
        <v>12</v>
      </c>
      <c r="AN141">
        <v>0</v>
      </c>
      <c r="AO141">
        <v>0</v>
      </c>
      <c r="AP141">
        <v>669</v>
      </c>
      <c r="AQ141">
        <v>0</v>
      </c>
      <c r="AR141">
        <v>10</v>
      </c>
      <c r="AS141">
        <v>1</v>
      </c>
      <c r="AT141">
        <v>0</v>
      </c>
      <c r="AU141">
        <v>2686</v>
      </c>
      <c r="AV141">
        <v>0</v>
      </c>
      <c r="AW141">
        <v>0</v>
      </c>
      <c r="AX141">
        <v>98153</v>
      </c>
      <c r="AY141">
        <v>0</v>
      </c>
      <c r="AZ141">
        <v>1150</v>
      </c>
      <c r="BA141">
        <v>263</v>
      </c>
      <c r="BB141">
        <v>0</v>
      </c>
      <c r="BC141">
        <v>207347</v>
      </c>
      <c r="BD141">
        <v>61</v>
      </c>
      <c r="BE141">
        <v>201403</v>
      </c>
      <c r="BF141">
        <v>23</v>
      </c>
      <c r="BG141">
        <v>156955</v>
      </c>
      <c r="BH141">
        <v>7184</v>
      </c>
      <c r="BI141">
        <v>21.847860000000001</v>
      </c>
      <c r="BJ141">
        <v>26.69444</v>
      </c>
      <c r="BK141">
        <v>26.69444</v>
      </c>
      <c r="BL141">
        <v>26.69444</v>
      </c>
      <c r="BM141">
        <v>473754</v>
      </c>
      <c r="BN141">
        <v>4985891</v>
      </c>
      <c r="BO141">
        <v>211.49760000000001</v>
      </c>
      <c r="BP141">
        <v>7.6817909999999996</v>
      </c>
      <c r="BQ141">
        <v>2.6040000000000001E-2</v>
      </c>
      <c r="BR141">
        <v>27.532330000000002</v>
      </c>
      <c r="BS141">
        <v>1577171</v>
      </c>
      <c r="BT141">
        <v>802265.7</v>
      </c>
      <c r="BU141">
        <v>790651.6</v>
      </c>
      <c r="BV141" s="1">
        <v>17890000000</v>
      </c>
      <c r="BW141" s="1">
        <v>34560000000</v>
      </c>
      <c r="BX141" s="1">
        <v>5423000000</v>
      </c>
      <c r="BY141" s="1">
        <v>10040000000</v>
      </c>
      <c r="BZ141" s="1">
        <v>7126000000</v>
      </c>
      <c r="CA141" s="1">
        <v>12200000000</v>
      </c>
      <c r="CB141">
        <v>1181603</v>
      </c>
      <c r="CC141">
        <v>2282750</v>
      </c>
      <c r="CD141">
        <v>679412</v>
      </c>
      <c r="CE141">
        <v>1258196</v>
      </c>
      <c r="CF141">
        <v>920057</v>
      </c>
      <c r="CG141">
        <v>1574650</v>
      </c>
      <c r="CH141">
        <v>3</v>
      </c>
      <c r="CI141">
        <v>402</v>
      </c>
      <c r="CJ141">
        <v>478480</v>
      </c>
      <c r="CK141">
        <v>4980091</v>
      </c>
      <c r="CL141">
        <v>816</v>
      </c>
      <c r="CM141">
        <v>492625</v>
      </c>
      <c r="CN141">
        <v>4977029</v>
      </c>
      <c r="CO141">
        <v>7481.2809999999999</v>
      </c>
      <c r="CP141">
        <v>20848.07</v>
      </c>
      <c r="CQ141">
        <v>7.4812810000000001</v>
      </c>
      <c r="CR141">
        <v>20.84807</v>
      </c>
      <c r="CS141">
        <f t="shared" si="5"/>
        <v>709.23362445414853</v>
      </c>
    </row>
    <row r="142" spans="1:97">
      <c r="A142" t="s">
        <v>27</v>
      </c>
      <c r="B142" t="s">
        <v>182</v>
      </c>
      <c r="C142" t="s">
        <v>27</v>
      </c>
      <c r="D142">
        <v>144</v>
      </c>
      <c r="E142">
        <v>190</v>
      </c>
      <c r="G142">
        <v>390</v>
      </c>
      <c r="H142">
        <v>513.93520000000001</v>
      </c>
      <c r="J142">
        <v>0.91</v>
      </c>
      <c r="K142">
        <v>29</v>
      </c>
      <c r="L142">
        <v>26</v>
      </c>
      <c r="M142">
        <v>24</v>
      </c>
      <c r="N142">
        <v>21</v>
      </c>
      <c r="O142">
        <v>48</v>
      </c>
      <c r="P142">
        <v>21</v>
      </c>
      <c r="Q142">
        <v>4</v>
      </c>
      <c r="R142">
        <v>0.1081081</v>
      </c>
      <c r="S142">
        <v>1.142857</v>
      </c>
      <c r="T142">
        <v>0.4210526</v>
      </c>
      <c r="U142">
        <v>0.228021</v>
      </c>
      <c r="V142">
        <v>0.66779409999999995</v>
      </c>
      <c r="W142">
        <v>0.3322059</v>
      </c>
      <c r="X142">
        <v>5.7142999999999999E-2</v>
      </c>
      <c r="Y142" s="2">
        <f t="shared" si="4"/>
        <v>57.143000000000001</v>
      </c>
      <c r="Z142">
        <v>9133761</v>
      </c>
      <c r="AA142">
        <v>6690866</v>
      </c>
      <c r="AB142">
        <v>12500</v>
      </c>
      <c r="AC142">
        <v>1.37</v>
      </c>
      <c r="AD142">
        <v>0.54</v>
      </c>
      <c r="AE142">
        <v>0.64</v>
      </c>
      <c r="AF142">
        <v>0</v>
      </c>
      <c r="AG142">
        <v>883.08</v>
      </c>
      <c r="AH142">
        <v>4589.43</v>
      </c>
      <c r="AI142">
        <v>0</v>
      </c>
      <c r="AJ142">
        <v>5473</v>
      </c>
      <c r="AK142">
        <v>1</v>
      </c>
      <c r="AL142">
        <v>7</v>
      </c>
      <c r="AM142">
        <v>0</v>
      </c>
      <c r="AN142">
        <v>0</v>
      </c>
      <c r="AO142">
        <v>3</v>
      </c>
      <c r="AP142">
        <v>21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883</v>
      </c>
      <c r="AX142">
        <v>4589</v>
      </c>
      <c r="AY142">
        <v>0</v>
      </c>
      <c r="AZ142">
        <v>0</v>
      </c>
      <c r="BA142">
        <v>0</v>
      </c>
      <c r="BB142">
        <v>0</v>
      </c>
      <c r="BC142">
        <v>7990</v>
      </c>
      <c r="BD142">
        <v>2</v>
      </c>
      <c r="BE142">
        <v>7990</v>
      </c>
      <c r="BF142">
        <v>89</v>
      </c>
      <c r="BG142">
        <v>2140</v>
      </c>
      <c r="BI142">
        <v>28.8</v>
      </c>
      <c r="BJ142">
        <v>29.678540000000002</v>
      </c>
      <c r="BK142">
        <v>29.678540000000002</v>
      </c>
      <c r="BL142">
        <v>29.678540000000002</v>
      </c>
      <c r="BM142">
        <v>442729.3</v>
      </c>
      <c r="BN142">
        <v>4992902</v>
      </c>
      <c r="BO142">
        <v>18.011970000000002</v>
      </c>
      <c r="BP142">
        <v>0.75885049999999998</v>
      </c>
      <c r="BQ142">
        <v>4.7428199999999997E-2</v>
      </c>
      <c r="BR142">
        <v>23.735869999999998</v>
      </c>
      <c r="BS142">
        <v>182450.2</v>
      </c>
      <c r="BT142">
        <v>0</v>
      </c>
      <c r="BU142">
        <v>494135.9</v>
      </c>
      <c r="CH142">
        <v>1</v>
      </c>
      <c r="CI142">
        <v>402</v>
      </c>
      <c r="CJ142">
        <v>478480</v>
      </c>
      <c r="CK142">
        <v>4980091</v>
      </c>
      <c r="CL142">
        <v>816</v>
      </c>
      <c r="CM142">
        <v>492625</v>
      </c>
      <c r="CN142">
        <v>4977029</v>
      </c>
      <c r="CO142">
        <v>37976.78</v>
      </c>
      <c r="CP142">
        <v>52359.67</v>
      </c>
      <c r="CQ142">
        <v>37.976779999999998</v>
      </c>
      <c r="CR142">
        <v>52.359670000000001</v>
      </c>
      <c r="CS142">
        <f t="shared" si="5"/>
        <v>610.28571428571433</v>
      </c>
    </row>
    <row r="143" spans="1:97">
      <c r="A143" t="s">
        <v>28</v>
      </c>
      <c r="B143" t="s">
        <v>182</v>
      </c>
      <c r="C143" t="s">
        <v>28</v>
      </c>
      <c r="D143">
        <v>3588</v>
      </c>
      <c r="E143">
        <v>279</v>
      </c>
      <c r="F143">
        <v>149.69229999999999</v>
      </c>
      <c r="G143">
        <v>4652</v>
      </c>
      <c r="H143">
        <v>361.41140000000001</v>
      </c>
      <c r="I143">
        <v>73143</v>
      </c>
      <c r="J143">
        <v>0.88</v>
      </c>
      <c r="K143">
        <v>377</v>
      </c>
      <c r="L143">
        <v>333</v>
      </c>
      <c r="M143">
        <v>332</v>
      </c>
      <c r="N143">
        <v>288</v>
      </c>
      <c r="O143">
        <v>664</v>
      </c>
      <c r="P143">
        <v>288</v>
      </c>
      <c r="Q143">
        <v>45</v>
      </c>
      <c r="R143">
        <v>7.8809100000000007E-2</v>
      </c>
      <c r="S143">
        <v>1.1527780000000001</v>
      </c>
      <c r="T143">
        <v>0.38694640000000002</v>
      </c>
      <c r="U143">
        <v>0.21750320000000001</v>
      </c>
      <c r="V143">
        <v>0.37914880000000001</v>
      </c>
      <c r="W143">
        <v>0.62085129999999999</v>
      </c>
      <c r="X143">
        <v>4.0169999999999997E-3</v>
      </c>
      <c r="Y143" s="2">
        <f t="shared" si="4"/>
        <v>4.0169999999999995</v>
      </c>
      <c r="Z143">
        <v>30648533</v>
      </c>
      <c r="AA143">
        <v>17798407</v>
      </c>
      <c r="AB143">
        <v>9624</v>
      </c>
      <c r="AC143">
        <v>1.72</v>
      </c>
      <c r="AD143">
        <v>0.35</v>
      </c>
      <c r="AE143">
        <v>0.56000000000000005</v>
      </c>
      <c r="AF143">
        <v>7.44</v>
      </c>
      <c r="AG143">
        <v>5373.85</v>
      </c>
      <c r="AH143">
        <v>66837.22</v>
      </c>
      <c r="AI143">
        <v>5374</v>
      </c>
      <c r="AJ143">
        <v>72211</v>
      </c>
      <c r="AK143">
        <v>13</v>
      </c>
      <c r="AL143">
        <v>6</v>
      </c>
      <c r="AM143">
        <v>10</v>
      </c>
      <c r="AN143">
        <v>0</v>
      </c>
      <c r="AO143">
        <v>0</v>
      </c>
      <c r="AP143">
        <v>314</v>
      </c>
      <c r="AQ143">
        <v>0</v>
      </c>
      <c r="AR143">
        <v>7</v>
      </c>
      <c r="AS143">
        <v>0</v>
      </c>
      <c r="AT143">
        <v>1</v>
      </c>
      <c r="AU143">
        <v>5374</v>
      </c>
      <c r="AV143">
        <v>0</v>
      </c>
      <c r="AW143">
        <v>0</v>
      </c>
      <c r="AX143">
        <v>64936</v>
      </c>
      <c r="AY143">
        <v>0</v>
      </c>
      <c r="AZ143">
        <v>1886</v>
      </c>
      <c r="BA143">
        <v>0</v>
      </c>
      <c r="BB143">
        <v>15</v>
      </c>
      <c r="BC143">
        <v>235069</v>
      </c>
      <c r="BD143">
        <v>16</v>
      </c>
      <c r="BE143">
        <v>328775</v>
      </c>
      <c r="BF143">
        <v>147</v>
      </c>
      <c r="BG143">
        <v>53925</v>
      </c>
      <c r="BH143">
        <v>1946</v>
      </c>
      <c r="BI143">
        <v>27.71069</v>
      </c>
      <c r="BJ143">
        <v>27.121490000000001</v>
      </c>
      <c r="BK143">
        <v>27.121490000000001</v>
      </c>
      <c r="BL143">
        <v>27.121490000000001</v>
      </c>
      <c r="BM143">
        <v>456463.6</v>
      </c>
      <c r="BN143">
        <v>5004796</v>
      </c>
      <c r="BO143">
        <v>144.45670000000001</v>
      </c>
      <c r="BP143">
        <v>12.87176</v>
      </c>
      <c r="BQ143">
        <v>0.14301949999999999</v>
      </c>
      <c r="BR143">
        <v>11.222759999999999</v>
      </c>
      <c r="BS143">
        <v>140660.5</v>
      </c>
      <c r="BT143">
        <v>76289.119999999995</v>
      </c>
      <c r="BU143">
        <v>182372.5</v>
      </c>
      <c r="BV143" s="1">
        <v>373900000</v>
      </c>
      <c r="BW143" s="1">
        <v>1298000000</v>
      </c>
      <c r="BX143" s="1">
        <v>119700000</v>
      </c>
      <c r="BY143" s="1">
        <v>408100000</v>
      </c>
      <c r="BZ143" s="1">
        <v>560600000</v>
      </c>
      <c r="CA143" s="1">
        <v>2330000000</v>
      </c>
      <c r="CB143">
        <v>361615</v>
      </c>
      <c r="CC143">
        <v>1255601</v>
      </c>
      <c r="CD143">
        <v>207093</v>
      </c>
      <c r="CE143">
        <v>705842</v>
      </c>
      <c r="CF143">
        <v>206259</v>
      </c>
      <c r="CG143">
        <v>857300</v>
      </c>
      <c r="CH143">
        <v>3</v>
      </c>
      <c r="CI143">
        <v>402</v>
      </c>
      <c r="CJ143">
        <v>478480</v>
      </c>
      <c r="CK143">
        <v>4980091</v>
      </c>
      <c r="CL143">
        <v>816</v>
      </c>
      <c r="CM143">
        <v>492625</v>
      </c>
      <c r="CN143">
        <v>4977029</v>
      </c>
      <c r="CO143">
        <v>33091.300000000003</v>
      </c>
      <c r="CP143">
        <v>45591.95</v>
      </c>
      <c r="CQ143">
        <v>33.091299999999997</v>
      </c>
      <c r="CR143">
        <v>45.591949999999997</v>
      </c>
      <c r="CS143">
        <f t="shared" si="5"/>
        <v>1831.375</v>
      </c>
    </row>
    <row r="144" spans="1:97">
      <c r="A144" t="s">
        <v>132</v>
      </c>
      <c r="B144" t="s">
        <v>163</v>
      </c>
      <c r="C144" t="s">
        <v>132</v>
      </c>
      <c r="D144">
        <v>14619</v>
      </c>
      <c r="E144">
        <v>160</v>
      </c>
      <c r="F144">
        <v>81.956050000000005</v>
      </c>
      <c r="G144">
        <v>6086</v>
      </c>
      <c r="H144">
        <v>66.746409999999997</v>
      </c>
      <c r="I144">
        <v>65916</v>
      </c>
      <c r="J144">
        <v>0.91</v>
      </c>
      <c r="K144">
        <v>968</v>
      </c>
      <c r="L144">
        <v>776</v>
      </c>
      <c r="M144">
        <v>819</v>
      </c>
      <c r="N144">
        <v>627</v>
      </c>
      <c r="O144">
        <v>1638</v>
      </c>
      <c r="P144">
        <v>627</v>
      </c>
      <c r="Q144">
        <v>193</v>
      </c>
      <c r="R144">
        <v>0.15452360000000001</v>
      </c>
      <c r="S144">
        <v>1.3062199999999999</v>
      </c>
      <c r="T144">
        <v>0.43680000000000002</v>
      </c>
      <c r="U144">
        <v>0.28280080000000002</v>
      </c>
      <c r="V144">
        <v>0.2204817</v>
      </c>
      <c r="W144">
        <v>0.77951820000000005</v>
      </c>
      <c r="X144">
        <v>2.0869999999999999E-3</v>
      </c>
      <c r="Y144" s="2">
        <f t="shared" si="4"/>
        <v>2.0869999999999997</v>
      </c>
      <c r="Z144">
        <v>86650872</v>
      </c>
      <c r="AA144">
        <v>67249534</v>
      </c>
      <c r="AB144">
        <v>12450</v>
      </c>
      <c r="AC144">
        <v>1.29</v>
      </c>
      <c r="AD144">
        <v>0.69</v>
      </c>
      <c r="AE144">
        <v>0.88</v>
      </c>
      <c r="AF144">
        <v>0</v>
      </c>
      <c r="AG144">
        <v>18568.86</v>
      </c>
      <c r="AH144">
        <v>213045</v>
      </c>
      <c r="AI144">
        <v>0</v>
      </c>
      <c r="AJ144">
        <v>231614</v>
      </c>
      <c r="AK144">
        <v>91</v>
      </c>
      <c r="AL144">
        <v>3</v>
      </c>
      <c r="AM144">
        <v>0</v>
      </c>
      <c r="AN144">
        <v>7</v>
      </c>
      <c r="AO144">
        <v>26</v>
      </c>
      <c r="AP144">
        <v>723</v>
      </c>
      <c r="AQ144">
        <v>0</v>
      </c>
      <c r="AR144">
        <v>4</v>
      </c>
      <c r="AS144">
        <v>59</v>
      </c>
      <c r="AT144">
        <v>0</v>
      </c>
      <c r="AU144">
        <v>0</v>
      </c>
      <c r="AV144">
        <v>5581</v>
      </c>
      <c r="AW144">
        <v>12988</v>
      </c>
      <c r="AX144">
        <v>195761</v>
      </c>
      <c r="AY144">
        <v>0</v>
      </c>
      <c r="AZ144">
        <v>1317</v>
      </c>
      <c r="BA144">
        <v>15968</v>
      </c>
      <c r="BB144">
        <v>0</v>
      </c>
      <c r="BC144">
        <v>399125</v>
      </c>
      <c r="BD144">
        <v>101</v>
      </c>
      <c r="BE144">
        <v>398021</v>
      </c>
      <c r="BF144">
        <v>44</v>
      </c>
      <c r="BG144">
        <v>182215</v>
      </c>
      <c r="BH144">
        <v>7458</v>
      </c>
      <c r="BI144">
        <v>24.43215</v>
      </c>
      <c r="BJ144">
        <v>26.596109999999999</v>
      </c>
      <c r="BK144">
        <v>26.596109999999999</v>
      </c>
      <c r="BL144">
        <v>26.596109999999999</v>
      </c>
      <c r="BM144">
        <v>494766.3</v>
      </c>
      <c r="BN144">
        <v>4954802</v>
      </c>
      <c r="BO144">
        <v>556.27020000000005</v>
      </c>
      <c r="BP144">
        <v>91.180940000000007</v>
      </c>
      <c r="BQ144">
        <v>0.32219409999999998</v>
      </c>
      <c r="BR144">
        <v>6.1007290000000003</v>
      </c>
      <c r="BS144">
        <v>138953.79999999999</v>
      </c>
      <c r="BT144">
        <v>70888.37</v>
      </c>
      <c r="BU144">
        <v>57847.5</v>
      </c>
      <c r="BV144" s="1">
        <v>6300000000</v>
      </c>
      <c r="BW144" s="1">
        <v>19690000000</v>
      </c>
      <c r="BX144" s="1">
        <v>2125000000</v>
      </c>
      <c r="BY144" s="1">
        <v>6262000000</v>
      </c>
      <c r="BZ144" s="1">
        <v>1302000000</v>
      </c>
      <c r="CA144" s="1">
        <v>5470000000</v>
      </c>
      <c r="CB144">
        <v>426201</v>
      </c>
      <c r="CC144">
        <v>1331751</v>
      </c>
      <c r="CD144">
        <v>275009</v>
      </c>
      <c r="CE144">
        <v>810243</v>
      </c>
      <c r="CF144">
        <v>197048</v>
      </c>
      <c r="CG144">
        <v>827288</v>
      </c>
      <c r="CH144">
        <v>3</v>
      </c>
      <c r="CI144">
        <v>402</v>
      </c>
      <c r="CJ144">
        <v>478480</v>
      </c>
      <c r="CK144">
        <v>4980091</v>
      </c>
      <c r="CL144">
        <v>816</v>
      </c>
      <c r="CM144">
        <v>492625</v>
      </c>
      <c r="CN144">
        <v>4977029</v>
      </c>
      <c r="CO144">
        <v>30079.52</v>
      </c>
      <c r="CP144">
        <v>22329.91</v>
      </c>
      <c r="CQ144">
        <v>30.079519999999999</v>
      </c>
      <c r="CR144">
        <v>22.329910000000002</v>
      </c>
      <c r="CS144">
        <f t="shared" si="5"/>
        <v>1025.8947368421052</v>
      </c>
    </row>
    <row r="145" spans="1:97">
      <c r="A145" t="s">
        <v>133</v>
      </c>
      <c r="B145" t="s">
        <v>165</v>
      </c>
      <c r="C145" t="s">
        <v>133</v>
      </c>
      <c r="D145">
        <v>33690</v>
      </c>
      <c r="E145">
        <v>940</v>
      </c>
      <c r="F145">
        <v>477.13889999999998</v>
      </c>
      <c r="G145">
        <v>39613</v>
      </c>
      <c r="H145">
        <v>1105.6099999999999</v>
      </c>
      <c r="I145">
        <v>51056</v>
      </c>
      <c r="J145">
        <v>0.86</v>
      </c>
      <c r="K145">
        <v>1730</v>
      </c>
      <c r="L145">
        <v>1259</v>
      </c>
      <c r="M145">
        <v>1533</v>
      </c>
      <c r="N145">
        <v>1062</v>
      </c>
      <c r="O145">
        <v>3066</v>
      </c>
      <c r="P145">
        <v>1062</v>
      </c>
      <c r="Q145">
        <v>472</v>
      </c>
      <c r="R145">
        <v>0.22274659999999999</v>
      </c>
      <c r="S145">
        <v>1.443503</v>
      </c>
      <c r="T145">
        <v>0.48207549999999999</v>
      </c>
      <c r="U145">
        <v>0.19457940000000001</v>
      </c>
      <c r="V145">
        <v>9.7913E-2</v>
      </c>
      <c r="W145">
        <v>0.90208699999999997</v>
      </c>
      <c r="X145">
        <v>1.361E-3</v>
      </c>
      <c r="Y145" s="2">
        <f t="shared" si="4"/>
        <v>1.361</v>
      </c>
      <c r="Z145">
        <v>52996756</v>
      </c>
      <c r="AA145">
        <v>41271332</v>
      </c>
      <c r="AB145">
        <v>12500</v>
      </c>
      <c r="AC145">
        <v>1.28</v>
      </c>
      <c r="AD145">
        <v>0.79</v>
      </c>
      <c r="AE145">
        <v>0.74</v>
      </c>
      <c r="AF145">
        <v>1.79</v>
      </c>
      <c r="AG145">
        <v>15946.85</v>
      </c>
      <c r="AH145">
        <v>282343.40000000002</v>
      </c>
      <c r="AI145">
        <v>5334</v>
      </c>
      <c r="AJ145">
        <v>298290</v>
      </c>
      <c r="AK145">
        <v>36</v>
      </c>
      <c r="AL145">
        <v>8</v>
      </c>
      <c r="AM145">
        <v>27</v>
      </c>
      <c r="AN145">
        <v>0</v>
      </c>
      <c r="AO145">
        <v>54</v>
      </c>
      <c r="AP145">
        <v>1338</v>
      </c>
      <c r="AQ145">
        <v>0</v>
      </c>
      <c r="AR145">
        <v>83</v>
      </c>
      <c r="AS145">
        <v>31</v>
      </c>
      <c r="AT145">
        <v>0</v>
      </c>
      <c r="AU145">
        <v>5334</v>
      </c>
      <c r="AV145">
        <v>0</v>
      </c>
      <c r="AW145">
        <v>10613</v>
      </c>
      <c r="AX145">
        <v>262597</v>
      </c>
      <c r="AY145">
        <v>0</v>
      </c>
      <c r="AZ145">
        <v>16139</v>
      </c>
      <c r="BA145">
        <v>3607</v>
      </c>
      <c r="BB145">
        <v>0</v>
      </c>
      <c r="BC145">
        <v>1313422</v>
      </c>
      <c r="BD145">
        <v>160</v>
      </c>
      <c r="BE145">
        <v>1316366</v>
      </c>
      <c r="BF145">
        <v>63</v>
      </c>
      <c r="BG145">
        <v>343760</v>
      </c>
      <c r="BH145">
        <v>17177</v>
      </c>
      <c r="BI145">
        <v>20.012810000000002</v>
      </c>
      <c r="BJ145">
        <v>27.540009999999999</v>
      </c>
      <c r="BK145">
        <v>27.540009999999999</v>
      </c>
      <c r="BL145">
        <v>27.540009999999999</v>
      </c>
      <c r="BM145">
        <v>487829.2</v>
      </c>
      <c r="BN145">
        <v>4984685</v>
      </c>
      <c r="BO145">
        <v>565.22370000000001</v>
      </c>
      <c r="BP145">
        <v>35.829079999999998</v>
      </c>
      <c r="BQ145">
        <v>7.3570999999999998E-2</v>
      </c>
      <c r="BR145">
        <v>15.77556</v>
      </c>
      <c r="BS145">
        <v>879790.9</v>
      </c>
      <c r="BT145">
        <v>448565.4</v>
      </c>
      <c r="BU145">
        <v>1034466</v>
      </c>
      <c r="BV145" s="1">
        <v>50540000000</v>
      </c>
      <c r="BW145" s="1">
        <v>91030000000</v>
      </c>
      <c r="BX145" s="1">
        <v>14950000000</v>
      </c>
      <c r="BY145" s="1">
        <v>26590000000</v>
      </c>
      <c r="BZ145" s="1">
        <v>38400000000</v>
      </c>
      <c r="CA145" s="1">
        <v>67200000000</v>
      </c>
      <c r="CB145">
        <v>1351616</v>
      </c>
      <c r="CC145">
        <v>2434604</v>
      </c>
      <c r="CD145">
        <v>750919</v>
      </c>
      <c r="CE145">
        <v>1336047</v>
      </c>
      <c r="CF145">
        <v>937586</v>
      </c>
      <c r="CG145">
        <v>1640867</v>
      </c>
      <c r="CH145">
        <v>3</v>
      </c>
      <c r="CI145">
        <v>402</v>
      </c>
      <c r="CJ145">
        <v>478480</v>
      </c>
      <c r="CK145">
        <v>4980091</v>
      </c>
      <c r="CL145">
        <v>816</v>
      </c>
      <c r="CM145">
        <v>492625</v>
      </c>
      <c r="CN145">
        <v>4977029</v>
      </c>
      <c r="CO145">
        <v>10416.92</v>
      </c>
      <c r="CP145">
        <v>9034.0560000000005</v>
      </c>
      <c r="CQ145">
        <v>10.416919999999999</v>
      </c>
      <c r="CR145">
        <v>9.0340559999999996</v>
      </c>
      <c r="CS145">
        <f t="shared" si="5"/>
        <v>1998.5593220338983</v>
      </c>
    </row>
    <row r="146" spans="1:97">
      <c r="A146" t="s">
        <v>134</v>
      </c>
      <c r="B146" t="s">
        <v>258</v>
      </c>
      <c r="C146" t="s">
        <v>134</v>
      </c>
      <c r="D146">
        <v>888</v>
      </c>
      <c r="E146">
        <v>14</v>
      </c>
      <c r="F146">
        <v>6.7301589999999996</v>
      </c>
      <c r="G146">
        <v>62</v>
      </c>
      <c r="H146">
        <v>0.98947850000000004</v>
      </c>
      <c r="I146">
        <v>68889</v>
      </c>
      <c r="J146">
        <v>0.85</v>
      </c>
      <c r="K146">
        <v>198</v>
      </c>
      <c r="L146">
        <v>183</v>
      </c>
      <c r="M146">
        <v>164</v>
      </c>
      <c r="N146">
        <v>149</v>
      </c>
      <c r="O146">
        <v>328</v>
      </c>
      <c r="P146">
        <v>149</v>
      </c>
      <c r="Q146">
        <v>16</v>
      </c>
      <c r="R146">
        <v>5.4607500000000003E-2</v>
      </c>
      <c r="S146">
        <v>1.100671</v>
      </c>
      <c r="T146">
        <v>0.37188209999999999</v>
      </c>
      <c r="U146">
        <v>0.57043080000000002</v>
      </c>
      <c r="V146">
        <v>0.45094450000000003</v>
      </c>
      <c r="W146">
        <v>0.54905550000000003</v>
      </c>
      <c r="X146">
        <v>7.437E-3</v>
      </c>
      <c r="Y146" s="2">
        <f t="shared" si="4"/>
        <v>7.4370000000000003</v>
      </c>
      <c r="Z146">
        <v>93449771</v>
      </c>
      <c r="AA146">
        <v>62908079</v>
      </c>
      <c r="AB146">
        <v>12500</v>
      </c>
      <c r="AC146">
        <v>1.49</v>
      </c>
      <c r="AD146">
        <v>0.9</v>
      </c>
      <c r="AE146">
        <v>0.69</v>
      </c>
      <c r="AF146">
        <v>0</v>
      </c>
      <c r="AG146">
        <v>564.83000000000004</v>
      </c>
      <c r="AH146">
        <v>92985.83</v>
      </c>
      <c r="AI146">
        <v>0</v>
      </c>
      <c r="AJ146">
        <v>93551</v>
      </c>
      <c r="AK146">
        <v>63</v>
      </c>
      <c r="AL146">
        <v>1</v>
      </c>
      <c r="AM146">
        <v>0</v>
      </c>
      <c r="AN146">
        <v>0</v>
      </c>
      <c r="AO146">
        <v>2</v>
      </c>
      <c r="AP146">
        <v>121</v>
      </c>
      <c r="AQ146">
        <v>0</v>
      </c>
      <c r="AR146">
        <v>0</v>
      </c>
      <c r="AS146">
        <v>41</v>
      </c>
      <c r="AT146">
        <v>0</v>
      </c>
      <c r="AU146">
        <v>0</v>
      </c>
      <c r="AV146">
        <v>0</v>
      </c>
      <c r="AW146">
        <v>565</v>
      </c>
      <c r="AX146">
        <v>77912</v>
      </c>
      <c r="AY146">
        <v>0</v>
      </c>
      <c r="AZ146">
        <v>0</v>
      </c>
      <c r="BA146">
        <v>15074</v>
      </c>
      <c r="BB146">
        <v>0</v>
      </c>
      <c r="BC146">
        <v>0</v>
      </c>
      <c r="BD146">
        <v>0</v>
      </c>
      <c r="BE146">
        <v>13091</v>
      </c>
      <c r="BF146">
        <v>24</v>
      </c>
      <c r="BG146">
        <v>13140</v>
      </c>
      <c r="BH146">
        <v>424</v>
      </c>
      <c r="BI146">
        <v>30.990570000000002</v>
      </c>
      <c r="BJ146">
        <v>27.412649999999999</v>
      </c>
      <c r="BK146">
        <v>27.412649999999999</v>
      </c>
      <c r="BL146">
        <v>27.412649999999999</v>
      </c>
      <c r="BM146">
        <v>443780.4</v>
      </c>
      <c r="BN146">
        <v>4949034</v>
      </c>
      <c r="BO146">
        <v>299.51620000000003</v>
      </c>
      <c r="BP146">
        <v>62.656880000000001</v>
      </c>
      <c r="BQ146">
        <v>0.78321099999999999</v>
      </c>
      <c r="BR146">
        <v>4.7802600000000002</v>
      </c>
      <c r="BS146">
        <v>9816.8819999999996</v>
      </c>
      <c r="BT146">
        <v>4687.34</v>
      </c>
      <c r="BU146">
        <v>685.41290000000004</v>
      </c>
      <c r="BV146">
        <v>77705532</v>
      </c>
      <c r="BW146" s="1">
        <v>268600000</v>
      </c>
      <c r="BX146">
        <v>24357140</v>
      </c>
      <c r="BY146">
        <v>93984837</v>
      </c>
      <c r="BZ146">
        <v>5559259</v>
      </c>
      <c r="CA146" s="1">
        <v>23700000</v>
      </c>
      <c r="CB146">
        <v>87506</v>
      </c>
      <c r="CC146">
        <v>302451</v>
      </c>
      <c r="CD146">
        <v>49068</v>
      </c>
      <c r="CE146">
        <v>189333</v>
      </c>
      <c r="CF146">
        <v>23556</v>
      </c>
      <c r="CG146">
        <v>100476</v>
      </c>
      <c r="CH146">
        <v>3</v>
      </c>
      <c r="CI146">
        <v>402</v>
      </c>
      <c r="CJ146">
        <v>478480</v>
      </c>
      <c r="CK146">
        <v>4980091</v>
      </c>
      <c r="CL146">
        <v>816</v>
      </c>
      <c r="CM146">
        <v>492625</v>
      </c>
      <c r="CN146">
        <v>4977029</v>
      </c>
      <c r="CO146">
        <v>46568.53</v>
      </c>
      <c r="CP146">
        <v>56298.66</v>
      </c>
      <c r="CQ146">
        <v>46.568530000000003</v>
      </c>
      <c r="CR146">
        <v>56.298659999999998</v>
      </c>
      <c r="CS146">
        <f t="shared" si="5"/>
        <v>143.03355704697987</v>
      </c>
    </row>
    <row r="147" spans="1:97">
      <c r="A147" t="s">
        <v>135</v>
      </c>
      <c r="B147" t="s">
        <v>255</v>
      </c>
      <c r="C147" t="s">
        <v>135</v>
      </c>
      <c r="D147">
        <v>1551</v>
      </c>
      <c r="E147">
        <v>18</v>
      </c>
      <c r="F147">
        <v>9.3176469999999991</v>
      </c>
      <c r="G147">
        <v>223</v>
      </c>
      <c r="H147">
        <v>2.6252849999999999</v>
      </c>
      <c r="I147">
        <v>65370</v>
      </c>
      <c r="J147">
        <v>0.83</v>
      </c>
      <c r="K147">
        <v>274</v>
      </c>
      <c r="L147">
        <v>254</v>
      </c>
      <c r="M147">
        <v>210</v>
      </c>
      <c r="N147">
        <v>190</v>
      </c>
      <c r="O147">
        <v>420</v>
      </c>
      <c r="P147">
        <v>190</v>
      </c>
      <c r="Q147">
        <v>21</v>
      </c>
      <c r="R147">
        <v>5.6000000000000001E-2</v>
      </c>
      <c r="S147">
        <v>1.1052630000000001</v>
      </c>
      <c r="T147">
        <v>0.37234040000000002</v>
      </c>
      <c r="U147">
        <v>0.6293048</v>
      </c>
      <c r="V147">
        <v>0.39277060000000003</v>
      </c>
      <c r="W147">
        <v>0.60722949999999998</v>
      </c>
      <c r="X147">
        <v>5.8479999999999999E-3</v>
      </c>
      <c r="Y147" s="2">
        <f t="shared" si="4"/>
        <v>5.8479999999999999</v>
      </c>
      <c r="Z147">
        <v>96435996</v>
      </c>
      <c r="AA147">
        <v>57345866</v>
      </c>
      <c r="AB147">
        <v>11910</v>
      </c>
      <c r="AC147">
        <v>1.68</v>
      </c>
      <c r="AD147">
        <v>0.21</v>
      </c>
      <c r="AE147">
        <v>0.26</v>
      </c>
      <c r="AF147">
        <v>0</v>
      </c>
      <c r="AG147">
        <v>5816.15</v>
      </c>
      <c r="AH147">
        <v>126337.9</v>
      </c>
      <c r="AI147">
        <v>0</v>
      </c>
      <c r="AJ147">
        <v>132154</v>
      </c>
      <c r="AK147">
        <v>85</v>
      </c>
      <c r="AL147">
        <v>2</v>
      </c>
      <c r="AM147">
        <v>0</v>
      </c>
      <c r="AN147">
        <v>7</v>
      </c>
      <c r="AO147">
        <v>0</v>
      </c>
      <c r="AP147">
        <v>203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5816</v>
      </c>
      <c r="AW147">
        <v>0</v>
      </c>
      <c r="AX147">
        <v>126338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144744</v>
      </c>
      <c r="BF147">
        <v>150</v>
      </c>
      <c r="BG147">
        <v>21850</v>
      </c>
      <c r="BH147">
        <v>792</v>
      </c>
      <c r="BI147">
        <v>27.588380000000001</v>
      </c>
      <c r="BJ147">
        <v>28.757909999999999</v>
      </c>
      <c r="BK147">
        <v>28.757909999999999</v>
      </c>
      <c r="BL147">
        <v>28.757909999999999</v>
      </c>
      <c r="BM147">
        <v>454277.3</v>
      </c>
      <c r="BN147">
        <v>4946843</v>
      </c>
      <c r="BO147">
        <v>365.26479999999998</v>
      </c>
      <c r="BP147">
        <v>84.943150000000003</v>
      </c>
      <c r="BQ147">
        <v>0.80898230000000004</v>
      </c>
      <c r="BR147">
        <v>4.300109</v>
      </c>
      <c r="BS147">
        <v>10862.05</v>
      </c>
      <c r="BT147">
        <v>5546.5770000000002</v>
      </c>
      <c r="BU147">
        <v>1561.7260000000001</v>
      </c>
      <c r="BV147" s="1">
        <v>194500000</v>
      </c>
      <c r="BW147" s="1">
        <v>683400000</v>
      </c>
      <c r="BX147">
        <v>57523177</v>
      </c>
      <c r="BY147" s="1">
        <v>233100000</v>
      </c>
      <c r="BZ147">
        <v>14773350</v>
      </c>
      <c r="CA147" s="1">
        <v>64500000</v>
      </c>
      <c r="CB147">
        <v>111270</v>
      </c>
      <c r="CC147">
        <v>390952</v>
      </c>
      <c r="CD147">
        <v>61401</v>
      </c>
      <c r="CE147">
        <v>248835</v>
      </c>
      <c r="CF147">
        <v>59331</v>
      </c>
      <c r="CG147">
        <v>258866</v>
      </c>
      <c r="CH147">
        <v>3</v>
      </c>
      <c r="CI147">
        <v>402</v>
      </c>
      <c r="CJ147">
        <v>478480</v>
      </c>
      <c r="CK147">
        <v>4980091</v>
      </c>
      <c r="CL147">
        <v>816</v>
      </c>
      <c r="CM147">
        <v>492625</v>
      </c>
      <c r="CN147">
        <v>4977029</v>
      </c>
      <c r="CO147">
        <v>41124.21</v>
      </c>
      <c r="CP147">
        <v>48803.09</v>
      </c>
      <c r="CQ147">
        <v>41.124209999999998</v>
      </c>
      <c r="CR147">
        <v>48.803089999999997</v>
      </c>
      <c r="CS147">
        <f t="shared" si="5"/>
        <v>1224.4736842105262</v>
      </c>
    </row>
    <row r="148" spans="1:97">
      <c r="A148" t="s">
        <v>136</v>
      </c>
      <c r="B148" t="s">
        <v>255</v>
      </c>
      <c r="C148" t="s">
        <v>136</v>
      </c>
      <c r="D148">
        <v>21115</v>
      </c>
      <c r="E148">
        <v>497</v>
      </c>
      <c r="F148">
        <v>267.11900000000003</v>
      </c>
      <c r="G148">
        <v>5287</v>
      </c>
      <c r="H148">
        <v>124.5269</v>
      </c>
      <c r="I148">
        <v>75097</v>
      </c>
      <c r="J148">
        <v>0.89</v>
      </c>
      <c r="K148">
        <v>1366</v>
      </c>
      <c r="L148">
        <v>1147</v>
      </c>
      <c r="M148">
        <v>1139</v>
      </c>
      <c r="N148">
        <v>920</v>
      </c>
      <c r="O148">
        <v>2278</v>
      </c>
      <c r="P148">
        <v>920</v>
      </c>
      <c r="Q148">
        <v>220</v>
      </c>
      <c r="R148">
        <v>0.119891</v>
      </c>
      <c r="S148">
        <v>1.238043</v>
      </c>
      <c r="T148">
        <v>0.41358020000000001</v>
      </c>
      <c r="U148">
        <v>0.18534700000000001</v>
      </c>
      <c r="V148">
        <v>0.26333499999999999</v>
      </c>
      <c r="W148">
        <v>0.73666500000000001</v>
      </c>
      <c r="X148">
        <v>1.3470000000000001E-3</v>
      </c>
      <c r="Y148" s="2">
        <f t="shared" si="4"/>
        <v>1.3470000000000002</v>
      </c>
      <c r="Z148">
        <v>51736589</v>
      </c>
      <c r="AA148">
        <v>36831072</v>
      </c>
      <c r="AB148">
        <v>12154</v>
      </c>
      <c r="AC148">
        <v>1.4</v>
      </c>
      <c r="AD148">
        <v>0.3</v>
      </c>
      <c r="AE148">
        <v>0.5</v>
      </c>
      <c r="AF148">
        <v>0</v>
      </c>
      <c r="AG148">
        <v>12002.56</v>
      </c>
      <c r="AH148">
        <v>199107.7</v>
      </c>
      <c r="AI148">
        <v>0</v>
      </c>
      <c r="AJ148">
        <v>211110</v>
      </c>
      <c r="AK148">
        <v>42</v>
      </c>
      <c r="AL148">
        <v>5</v>
      </c>
      <c r="AM148">
        <v>0</v>
      </c>
      <c r="AN148">
        <v>16</v>
      </c>
      <c r="AO148">
        <v>13</v>
      </c>
      <c r="AP148">
        <v>1095</v>
      </c>
      <c r="AQ148">
        <v>0</v>
      </c>
      <c r="AR148">
        <v>0</v>
      </c>
      <c r="AS148">
        <v>15</v>
      </c>
      <c r="AT148">
        <v>0</v>
      </c>
      <c r="AU148">
        <v>0</v>
      </c>
      <c r="AV148">
        <v>5634</v>
      </c>
      <c r="AW148">
        <v>6368</v>
      </c>
      <c r="AX148">
        <v>195413</v>
      </c>
      <c r="AY148">
        <v>0</v>
      </c>
      <c r="AZ148">
        <v>0</v>
      </c>
      <c r="BA148">
        <v>3695</v>
      </c>
      <c r="BB148">
        <v>0</v>
      </c>
      <c r="BC148">
        <v>491503</v>
      </c>
      <c r="BD148">
        <v>102</v>
      </c>
      <c r="BE148">
        <v>485068</v>
      </c>
      <c r="BF148">
        <v>37</v>
      </c>
      <c r="BG148">
        <v>278580</v>
      </c>
      <c r="BH148">
        <v>11219</v>
      </c>
      <c r="BI148">
        <v>24.83109</v>
      </c>
      <c r="BJ148">
        <v>25.97045</v>
      </c>
      <c r="BK148">
        <v>25.97045</v>
      </c>
      <c r="BL148">
        <v>25.97045</v>
      </c>
      <c r="BM148">
        <v>471254.7</v>
      </c>
      <c r="BN148">
        <v>4955740</v>
      </c>
      <c r="BO148">
        <v>515.74429999999995</v>
      </c>
      <c r="BP148">
        <v>42.456690000000002</v>
      </c>
      <c r="BQ148">
        <v>0.1182638</v>
      </c>
      <c r="BR148">
        <v>12.147539999999999</v>
      </c>
      <c r="BS148">
        <v>345799.6</v>
      </c>
      <c r="BT148">
        <v>183733.2</v>
      </c>
      <c r="BU148">
        <v>86585.02</v>
      </c>
      <c r="BV148" s="1">
        <v>12400000000</v>
      </c>
      <c r="BW148" s="1">
        <v>32620000000</v>
      </c>
      <c r="BX148" s="1">
        <v>4487000000</v>
      </c>
      <c r="BY148" s="1">
        <v>11010000000</v>
      </c>
      <c r="BZ148" s="1">
        <v>1845000000</v>
      </c>
      <c r="CA148" s="1">
        <v>6280000000</v>
      </c>
      <c r="CB148">
        <v>587184</v>
      </c>
      <c r="CC148">
        <v>1544819</v>
      </c>
      <c r="CD148">
        <v>382636</v>
      </c>
      <c r="CE148">
        <v>939184</v>
      </c>
      <c r="CF148">
        <v>343882</v>
      </c>
      <c r="CG148">
        <v>1170662</v>
      </c>
      <c r="CH148">
        <v>3</v>
      </c>
      <c r="CI148">
        <v>402</v>
      </c>
      <c r="CJ148">
        <v>478480</v>
      </c>
      <c r="CK148">
        <v>4980091</v>
      </c>
      <c r="CL148">
        <v>816</v>
      </c>
      <c r="CM148">
        <v>492625</v>
      </c>
      <c r="CN148">
        <v>4977029</v>
      </c>
      <c r="CO148">
        <v>25400.32</v>
      </c>
      <c r="CP148">
        <v>30164.74</v>
      </c>
      <c r="CQ148">
        <v>25.400320000000001</v>
      </c>
      <c r="CR148">
        <v>30.164739999999998</v>
      </c>
      <c r="CS148">
        <f t="shared" si="5"/>
        <v>849.19021739130437</v>
      </c>
    </row>
    <row r="149" spans="1:97">
      <c r="A149" t="s">
        <v>137</v>
      </c>
      <c r="B149" t="s">
        <v>163</v>
      </c>
      <c r="C149" t="s">
        <v>137</v>
      </c>
      <c r="D149">
        <v>285</v>
      </c>
      <c r="E149">
        <v>7</v>
      </c>
      <c r="F149">
        <v>3.8684210000000001</v>
      </c>
      <c r="G149">
        <v>0</v>
      </c>
      <c r="H149">
        <v>0</v>
      </c>
      <c r="I149">
        <v>63125</v>
      </c>
      <c r="J149">
        <v>0.79</v>
      </c>
      <c r="K149">
        <v>72</v>
      </c>
      <c r="L149">
        <v>67</v>
      </c>
      <c r="M149">
        <v>38</v>
      </c>
      <c r="N149">
        <v>33</v>
      </c>
      <c r="O149">
        <v>76</v>
      </c>
      <c r="P149">
        <v>33</v>
      </c>
      <c r="Q149">
        <v>6</v>
      </c>
      <c r="R149">
        <v>9.8360699999999995E-2</v>
      </c>
      <c r="S149">
        <v>1.1515150000000001</v>
      </c>
      <c r="T149">
        <v>0.40860210000000002</v>
      </c>
      <c r="U149">
        <v>1.4315770000000001</v>
      </c>
      <c r="V149">
        <v>0.42563509999999999</v>
      </c>
      <c r="W149">
        <v>0.57436489999999996</v>
      </c>
      <c r="X149">
        <v>3.5985000000000003E-2</v>
      </c>
      <c r="Y149" s="2">
        <f t="shared" si="4"/>
        <v>35.985000000000007</v>
      </c>
      <c r="Z149">
        <v>64023169</v>
      </c>
      <c r="AA149">
        <v>43772516</v>
      </c>
      <c r="AB149">
        <v>12500</v>
      </c>
      <c r="AC149">
        <v>1.46</v>
      </c>
      <c r="AD149">
        <v>0.79</v>
      </c>
      <c r="AE149">
        <v>0.59</v>
      </c>
      <c r="AF149">
        <v>0</v>
      </c>
      <c r="AG149">
        <v>4846.59</v>
      </c>
      <c r="AH149">
        <v>49553.35</v>
      </c>
      <c r="AI149">
        <v>0</v>
      </c>
      <c r="AJ149">
        <v>54400</v>
      </c>
      <c r="AK149">
        <v>38</v>
      </c>
      <c r="AL149">
        <v>1</v>
      </c>
      <c r="AM149">
        <v>0</v>
      </c>
      <c r="AN149">
        <v>0</v>
      </c>
      <c r="AO149">
        <v>3</v>
      </c>
      <c r="AP149">
        <v>32</v>
      </c>
      <c r="AQ149">
        <v>0</v>
      </c>
      <c r="AR149">
        <v>0</v>
      </c>
      <c r="AS149">
        <v>3</v>
      </c>
      <c r="AT149">
        <v>0</v>
      </c>
      <c r="AU149">
        <v>0</v>
      </c>
      <c r="AV149">
        <v>0</v>
      </c>
      <c r="AW149">
        <v>4847</v>
      </c>
      <c r="AX149">
        <v>48332</v>
      </c>
      <c r="AY149">
        <v>0</v>
      </c>
      <c r="AZ149">
        <v>0</v>
      </c>
      <c r="BA149">
        <v>1222</v>
      </c>
      <c r="BB149">
        <v>0</v>
      </c>
      <c r="BC149">
        <v>0</v>
      </c>
      <c r="BD149">
        <v>0</v>
      </c>
      <c r="BE149">
        <v>15014</v>
      </c>
      <c r="BF149">
        <v>85</v>
      </c>
      <c r="BG149">
        <v>3300</v>
      </c>
      <c r="BH149">
        <v>147</v>
      </c>
      <c r="BI149">
        <v>22.448979999999999</v>
      </c>
      <c r="BJ149">
        <v>30.041869999999999</v>
      </c>
      <c r="BK149">
        <v>30.041869999999999</v>
      </c>
      <c r="BL149">
        <v>30.041869999999999</v>
      </c>
      <c r="BM149">
        <v>494459.2</v>
      </c>
      <c r="BN149">
        <v>4928263</v>
      </c>
      <c r="BO149">
        <v>164.60849999999999</v>
      </c>
      <c r="BP149">
        <v>38.458599999999997</v>
      </c>
      <c r="BQ149">
        <v>1.0394220000000001</v>
      </c>
      <c r="BR149">
        <v>4.2801470000000004</v>
      </c>
      <c r="BS149">
        <v>6357.1880000000001</v>
      </c>
      <c r="BT149">
        <v>3278.97</v>
      </c>
      <c r="BU149">
        <v>0</v>
      </c>
      <c r="BV149">
        <v>16511576</v>
      </c>
      <c r="BW149" s="1">
        <v>161000000</v>
      </c>
      <c r="BX149">
        <v>4878316</v>
      </c>
      <c r="BY149">
        <v>50137265</v>
      </c>
      <c r="BZ149">
        <v>4427973</v>
      </c>
      <c r="CA149" s="1">
        <v>35000000</v>
      </c>
      <c r="CB149">
        <v>20588</v>
      </c>
      <c r="CC149">
        <v>200773</v>
      </c>
      <c r="CD149">
        <v>11046</v>
      </c>
      <c r="CE149">
        <v>113528</v>
      </c>
      <c r="CF149">
        <v>7893</v>
      </c>
      <c r="CG149">
        <v>62329</v>
      </c>
      <c r="CH149">
        <v>3</v>
      </c>
      <c r="CI149">
        <v>402</v>
      </c>
      <c r="CJ149">
        <v>478480</v>
      </c>
      <c r="CK149">
        <v>4980091</v>
      </c>
      <c r="CL149">
        <v>816</v>
      </c>
      <c r="CM149">
        <v>492625</v>
      </c>
      <c r="CN149">
        <v>4977029</v>
      </c>
      <c r="CO149">
        <v>54235.839999999997</v>
      </c>
      <c r="CP149">
        <v>48800.98</v>
      </c>
      <c r="CQ149">
        <v>54.235840000000003</v>
      </c>
      <c r="CR149">
        <v>48.800980000000003</v>
      </c>
      <c r="CS149">
        <f t="shared" si="5"/>
        <v>734.09090909090912</v>
      </c>
    </row>
    <row r="150" spans="1:97">
      <c r="A150" t="s">
        <v>138</v>
      </c>
      <c r="B150" t="s">
        <v>255</v>
      </c>
      <c r="C150" t="s">
        <v>138</v>
      </c>
      <c r="D150">
        <v>20568</v>
      </c>
      <c r="E150">
        <v>279</v>
      </c>
      <c r="F150">
        <v>152.8784</v>
      </c>
      <c r="G150">
        <v>13903</v>
      </c>
      <c r="H150">
        <v>188.90629999999999</v>
      </c>
      <c r="I150">
        <v>59137</v>
      </c>
      <c r="J150">
        <v>0.89</v>
      </c>
      <c r="K150">
        <v>1590</v>
      </c>
      <c r="L150">
        <v>1222</v>
      </c>
      <c r="M150">
        <v>1380</v>
      </c>
      <c r="N150">
        <v>1012</v>
      </c>
      <c r="O150">
        <v>2760</v>
      </c>
      <c r="P150">
        <v>1012</v>
      </c>
      <c r="Q150">
        <v>369</v>
      </c>
      <c r="R150">
        <v>0.1827637</v>
      </c>
      <c r="S150">
        <v>1.3636360000000001</v>
      </c>
      <c r="T150">
        <v>0.45544560000000001</v>
      </c>
      <c r="U150">
        <v>0.2031047</v>
      </c>
      <c r="V150">
        <v>0.23694190000000001</v>
      </c>
      <c r="W150">
        <v>0.76305809999999996</v>
      </c>
      <c r="X150">
        <v>1.3489999999999999E-3</v>
      </c>
      <c r="Y150" s="2">
        <f t="shared" si="4"/>
        <v>1.349</v>
      </c>
      <c r="Z150">
        <v>84648581</v>
      </c>
      <c r="AA150">
        <v>62720493</v>
      </c>
      <c r="AB150">
        <v>12500</v>
      </c>
      <c r="AC150">
        <v>1.35</v>
      </c>
      <c r="AD150">
        <v>0.38</v>
      </c>
      <c r="AE150">
        <v>0.6</v>
      </c>
      <c r="AF150">
        <v>4.2699999999999996</v>
      </c>
      <c r="AG150">
        <v>28508.6</v>
      </c>
      <c r="AH150">
        <v>251775.9</v>
      </c>
      <c r="AI150">
        <v>11978</v>
      </c>
      <c r="AJ150">
        <v>280285</v>
      </c>
      <c r="AK150">
        <v>74</v>
      </c>
      <c r="AL150">
        <v>4</v>
      </c>
      <c r="AM150">
        <v>12</v>
      </c>
      <c r="AN150">
        <v>50</v>
      </c>
      <c r="AO150">
        <v>0</v>
      </c>
      <c r="AP150">
        <v>1305</v>
      </c>
      <c r="AQ150">
        <v>0</v>
      </c>
      <c r="AR150">
        <v>12</v>
      </c>
      <c r="AS150">
        <v>1</v>
      </c>
      <c r="AT150">
        <v>0</v>
      </c>
      <c r="AU150">
        <v>11978</v>
      </c>
      <c r="AV150">
        <v>16531</v>
      </c>
      <c r="AW150">
        <v>0</v>
      </c>
      <c r="AX150">
        <v>251141</v>
      </c>
      <c r="AY150">
        <v>0</v>
      </c>
      <c r="AZ150">
        <v>475</v>
      </c>
      <c r="BA150">
        <v>160</v>
      </c>
      <c r="BB150">
        <v>0</v>
      </c>
      <c r="BC150">
        <v>774655</v>
      </c>
      <c r="BD150">
        <v>147</v>
      </c>
      <c r="BE150">
        <v>771547</v>
      </c>
      <c r="BF150">
        <v>60</v>
      </c>
      <c r="BG150">
        <v>249545</v>
      </c>
      <c r="BH150">
        <v>11313</v>
      </c>
      <c r="BI150">
        <v>22.058250000000001</v>
      </c>
      <c r="BJ150">
        <v>26.462039999999998</v>
      </c>
      <c r="BK150">
        <v>26.462039999999998</v>
      </c>
      <c r="BL150">
        <v>26.462039999999998</v>
      </c>
      <c r="BM150">
        <v>462482.4</v>
      </c>
      <c r="BN150">
        <v>4958023</v>
      </c>
      <c r="BO150">
        <v>642.5249</v>
      </c>
      <c r="BP150">
        <v>73.597319999999996</v>
      </c>
      <c r="BQ150">
        <v>0.14928459999999999</v>
      </c>
      <c r="BR150">
        <v>8.7302759999999999</v>
      </c>
      <c r="BS150">
        <v>218546.5</v>
      </c>
      <c r="BT150">
        <v>120207</v>
      </c>
      <c r="BU150">
        <v>147727.20000000001</v>
      </c>
      <c r="BV150" s="1">
        <v>6951000000</v>
      </c>
      <c r="BW150" s="1">
        <v>21370000000</v>
      </c>
      <c r="BX150" s="1">
        <v>2724000000</v>
      </c>
      <c r="BY150" s="1">
        <v>8521000000</v>
      </c>
      <c r="BZ150" s="1">
        <v>2529000000</v>
      </c>
      <c r="CA150" s="1">
        <v>10600000000</v>
      </c>
      <c r="CB150">
        <v>324933</v>
      </c>
      <c r="CC150">
        <v>998902</v>
      </c>
      <c r="CD150">
        <v>226378</v>
      </c>
      <c r="CE150">
        <v>708182</v>
      </c>
      <c r="CF150">
        <v>182306</v>
      </c>
      <c r="CG150">
        <v>763993</v>
      </c>
      <c r="CH150">
        <v>3</v>
      </c>
      <c r="CI150">
        <v>402</v>
      </c>
      <c r="CJ150">
        <v>478480</v>
      </c>
      <c r="CK150">
        <v>4980091</v>
      </c>
      <c r="CL150">
        <v>816</v>
      </c>
      <c r="CM150">
        <v>492625</v>
      </c>
      <c r="CN150">
        <v>4977029</v>
      </c>
      <c r="CO150">
        <v>27256.959999999999</v>
      </c>
      <c r="CP150">
        <v>35634.57</v>
      </c>
      <c r="CQ150">
        <v>27.256959999999999</v>
      </c>
      <c r="CR150">
        <v>35.634569999999997</v>
      </c>
      <c r="CS150">
        <f t="shared" si="5"/>
        <v>1219.4466403162055</v>
      </c>
    </row>
    <row r="151" spans="1:97">
      <c r="A151" t="s">
        <v>139</v>
      </c>
      <c r="B151" t="s">
        <v>165</v>
      </c>
      <c r="C151" t="s">
        <v>139</v>
      </c>
      <c r="D151">
        <v>25924</v>
      </c>
      <c r="E151">
        <v>791</v>
      </c>
      <c r="F151">
        <v>433.96969999999999</v>
      </c>
      <c r="G151">
        <v>9849</v>
      </c>
      <c r="H151">
        <v>300.46409999999997</v>
      </c>
      <c r="I151">
        <v>69719</v>
      </c>
      <c r="J151">
        <v>0.89</v>
      </c>
      <c r="K151">
        <v>1290</v>
      </c>
      <c r="L151">
        <v>1005</v>
      </c>
      <c r="M151">
        <v>1138</v>
      </c>
      <c r="N151">
        <v>853</v>
      </c>
      <c r="O151">
        <v>2276</v>
      </c>
      <c r="P151">
        <v>853</v>
      </c>
      <c r="Q151">
        <v>286</v>
      </c>
      <c r="R151">
        <v>0.16813639999999999</v>
      </c>
      <c r="S151">
        <v>1.3341149999999999</v>
      </c>
      <c r="T151">
        <v>0.44575009999999998</v>
      </c>
      <c r="U151">
        <v>0.1888724</v>
      </c>
      <c r="V151">
        <v>0.1377014</v>
      </c>
      <c r="W151">
        <v>0.86229860000000003</v>
      </c>
      <c r="X151">
        <v>1.5659999999999999E-3</v>
      </c>
      <c r="Y151" s="2">
        <f t="shared" si="4"/>
        <v>1.5659999999999998</v>
      </c>
      <c r="Z151">
        <v>72172769</v>
      </c>
      <c r="AA151">
        <v>56029700</v>
      </c>
      <c r="AB151">
        <v>12500</v>
      </c>
      <c r="AC151">
        <v>1.29</v>
      </c>
      <c r="AD151">
        <v>0.17</v>
      </c>
      <c r="AE151">
        <v>0.28000000000000003</v>
      </c>
      <c r="AF151">
        <v>2.48</v>
      </c>
      <c r="AG151">
        <v>5337.81</v>
      </c>
      <c r="AH151">
        <v>209599</v>
      </c>
      <c r="AI151">
        <v>5338</v>
      </c>
      <c r="AJ151">
        <v>214937</v>
      </c>
      <c r="AK151">
        <v>33</v>
      </c>
      <c r="AL151">
        <v>7</v>
      </c>
      <c r="AM151">
        <v>14</v>
      </c>
      <c r="AN151">
        <v>0</v>
      </c>
      <c r="AO151">
        <v>0</v>
      </c>
      <c r="AP151">
        <v>1113</v>
      </c>
      <c r="AQ151">
        <v>0</v>
      </c>
      <c r="AR151">
        <v>11</v>
      </c>
      <c r="AS151">
        <v>0</v>
      </c>
      <c r="AT151">
        <v>0</v>
      </c>
      <c r="AU151">
        <v>5338</v>
      </c>
      <c r="AV151">
        <v>0</v>
      </c>
      <c r="AW151">
        <v>0</v>
      </c>
      <c r="AX151">
        <v>206247</v>
      </c>
      <c r="AY151">
        <v>0</v>
      </c>
      <c r="AZ151">
        <v>3352</v>
      </c>
      <c r="BA151">
        <v>0</v>
      </c>
      <c r="BB151">
        <v>0</v>
      </c>
      <c r="BC151">
        <v>657577</v>
      </c>
      <c r="BD151">
        <v>104</v>
      </c>
      <c r="BE151">
        <v>659047</v>
      </c>
      <c r="BF151">
        <v>41</v>
      </c>
      <c r="BG151">
        <v>318175</v>
      </c>
      <c r="BH151">
        <v>14321</v>
      </c>
      <c r="BI151">
        <v>22.217369999999999</v>
      </c>
      <c r="BJ151">
        <v>26.476590000000002</v>
      </c>
      <c r="BK151">
        <v>26.476590000000002</v>
      </c>
      <c r="BL151">
        <v>26.476590000000002</v>
      </c>
      <c r="BM151">
        <v>489309.3</v>
      </c>
      <c r="BN151">
        <v>4992313</v>
      </c>
      <c r="BO151">
        <v>423.12880000000001</v>
      </c>
      <c r="BP151">
        <v>32.779290000000003</v>
      </c>
      <c r="BQ151">
        <v>9.8732799999999996E-2</v>
      </c>
      <c r="BR151">
        <v>12.90842</v>
      </c>
      <c r="BS151">
        <v>679679.2</v>
      </c>
      <c r="BT151">
        <v>375470.1</v>
      </c>
      <c r="BU151">
        <v>258222.5</v>
      </c>
      <c r="BV151" s="1">
        <v>27800000000</v>
      </c>
      <c r="BW151" s="1">
        <v>55850000000</v>
      </c>
      <c r="BX151" s="1">
        <v>9195000000</v>
      </c>
      <c r="BY151" s="1">
        <v>17640000000</v>
      </c>
      <c r="BZ151" s="1">
        <v>8379000000</v>
      </c>
      <c r="CA151" s="1">
        <v>14800000000</v>
      </c>
      <c r="CB151">
        <v>1071760</v>
      </c>
      <c r="CC151">
        <v>2153189</v>
      </c>
      <c r="CD151">
        <v>620929</v>
      </c>
      <c r="CE151">
        <v>1191374</v>
      </c>
      <c r="CF151">
        <v>843136</v>
      </c>
      <c r="CG151">
        <v>1493765</v>
      </c>
      <c r="CH151">
        <v>3</v>
      </c>
      <c r="CI151">
        <v>402</v>
      </c>
      <c r="CJ151">
        <v>478480</v>
      </c>
      <c r="CK151">
        <v>4980091</v>
      </c>
      <c r="CL151">
        <v>816</v>
      </c>
      <c r="CM151">
        <v>492625</v>
      </c>
      <c r="CN151">
        <v>4977029</v>
      </c>
      <c r="CO151">
        <v>16329.07</v>
      </c>
      <c r="CP151">
        <v>15639.03</v>
      </c>
      <c r="CQ151">
        <v>16.329070000000002</v>
      </c>
      <c r="CR151">
        <v>15.63903</v>
      </c>
      <c r="CS151">
        <f t="shared" si="5"/>
        <v>1246.0539273153577</v>
      </c>
    </row>
    <row r="152" spans="1:97">
      <c r="A152" t="s">
        <v>37</v>
      </c>
      <c r="B152" t="s">
        <v>258</v>
      </c>
      <c r="C152" t="s">
        <v>37</v>
      </c>
      <c r="D152">
        <v>7400</v>
      </c>
      <c r="E152">
        <v>350</v>
      </c>
      <c r="F152">
        <v>166</v>
      </c>
      <c r="G152">
        <v>769</v>
      </c>
      <c r="H152">
        <v>36.384410000000003</v>
      </c>
      <c r="I152">
        <v>96589</v>
      </c>
      <c r="J152">
        <v>0.87</v>
      </c>
      <c r="K152">
        <v>584</v>
      </c>
      <c r="L152">
        <v>487</v>
      </c>
      <c r="M152">
        <v>528</v>
      </c>
      <c r="N152">
        <v>431</v>
      </c>
      <c r="O152">
        <v>1056</v>
      </c>
      <c r="P152">
        <v>431</v>
      </c>
      <c r="Q152">
        <v>98</v>
      </c>
      <c r="R152">
        <v>0.11435240000000001</v>
      </c>
      <c r="S152">
        <v>1.225058</v>
      </c>
      <c r="T152">
        <v>0.41025640000000002</v>
      </c>
      <c r="U152">
        <v>0.19141730000000001</v>
      </c>
      <c r="V152">
        <v>0.36094979999999999</v>
      </c>
      <c r="W152">
        <v>0.63905020000000001</v>
      </c>
      <c r="X152">
        <v>2.849E-3</v>
      </c>
      <c r="Y152" s="2">
        <f t="shared" si="4"/>
        <v>2.8489999999999998</v>
      </c>
      <c r="Z152">
        <v>56482965</v>
      </c>
      <c r="AA152">
        <v>36355351</v>
      </c>
      <c r="AB152">
        <v>10506</v>
      </c>
      <c r="AC152">
        <v>1.55</v>
      </c>
      <c r="AD152">
        <v>0.28000000000000003</v>
      </c>
      <c r="AE152">
        <v>0.32</v>
      </c>
      <c r="AF152">
        <v>0</v>
      </c>
      <c r="AG152">
        <v>3978.51</v>
      </c>
      <c r="AH152">
        <v>97089.81</v>
      </c>
      <c r="AI152">
        <v>0</v>
      </c>
      <c r="AJ152">
        <v>101068</v>
      </c>
      <c r="AK152">
        <v>21</v>
      </c>
      <c r="AL152">
        <v>5</v>
      </c>
      <c r="AM152">
        <v>0</v>
      </c>
      <c r="AN152">
        <v>0</v>
      </c>
      <c r="AO152">
        <v>15</v>
      </c>
      <c r="AP152">
        <v>507</v>
      </c>
      <c r="AQ152">
        <v>0</v>
      </c>
      <c r="AR152">
        <v>0</v>
      </c>
      <c r="AS152">
        <v>6</v>
      </c>
      <c r="AT152">
        <v>0</v>
      </c>
      <c r="AU152">
        <v>0</v>
      </c>
      <c r="AV152">
        <v>0</v>
      </c>
      <c r="AW152">
        <v>3979</v>
      </c>
      <c r="AX152">
        <v>96088</v>
      </c>
      <c r="AY152">
        <v>0</v>
      </c>
      <c r="AZ152">
        <v>0</v>
      </c>
      <c r="BA152">
        <v>1002</v>
      </c>
      <c r="BB152">
        <v>0</v>
      </c>
      <c r="BC152">
        <v>151981</v>
      </c>
      <c r="BD152">
        <v>52</v>
      </c>
      <c r="BE152">
        <v>14054</v>
      </c>
      <c r="BF152">
        <v>3</v>
      </c>
      <c r="BG152">
        <v>93735</v>
      </c>
      <c r="BH152">
        <v>3486</v>
      </c>
      <c r="BI152">
        <v>26.88898</v>
      </c>
      <c r="BJ152">
        <v>25.39594</v>
      </c>
      <c r="BK152">
        <v>25.39594</v>
      </c>
      <c r="BL152">
        <v>25.39594</v>
      </c>
      <c r="BM152">
        <v>453382.2</v>
      </c>
      <c r="BN152">
        <v>4972391</v>
      </c>
      <c r="BO152">
        <v>242.58170000000001</v>
      </c>
      <c r="BP152">
        <v>21.135429999999999</v>
      </c>
      <c r="BQ152">
        <v>0.11940919999999999</v>
      </c>
      <c r="BR152">
        <v>11.47749</v>
      </c>
      <c r="BS152">
        <v>190299.9</v>
      </c>
      <c r="BT152">
        <v>89646.69</v>
      </c>
      <c r="BU152">
        <v>19775.759999999998</v>
      </c>
      <c r="BV152" s="1">
        <v>4857000000</v>
      </c>
      <c r="BW152" s="1">
        <v>15320000000</v>
      </c>
      <c r="BX152" s="1">
        <v>1527000000</v>
      </c>
      <c r="BY152" s="1">
        <v>5258000000</v>
      </c>
      <c r="BZ152" s="1">
        <v>390200000</v>
      </c>
      <c r="CA152" s="1">
        <v>1240000000</v>
      </c>
      <c r="CB152">
        <v>362761</v>
      </c>
      <c r="CC152">
        <v>1144154</v>
      </c>
      <c r="CD152">
        <v>210068</v>
      </c>
      <c r="CE152">
        <v>723533</v>
      </c>
      <c r="CF152">
        <v>289260</v>
      </c>
      <c r="CG152">
        <v>920824</v>
      </c>
      <c r="CH152">
        <v>3</v>
      </c>
      <c r="CI152">
        <v>402</v>
      </c>
      <c r="CJ152">
        <v>478480</v>
      </c>
      <c r="CK152">
        <v>4980091</v>
      </c>
      <c r="CL152">
        <v>816</v>
      </c>
      <c r="CM152">
        <v>492625</v>
      </c>
      <c r="CN152">
        <v>4977029</v>
      </c>
      <c r="CO152">
        <v>26252.46</v>
      </c>
      <c r="CP152">
        <v>39515.97</v>
      </c>
      <c r="CQ152">
        <v>26.252459999999999</v>
      </c>
      <c r="CR152">
        <v>39.515970000000003</v>
      </c>
      <c r="CS152">
        <f t="shared" si="5"/>
        <v>51.508120649651971</v>
      </c>
    </row>
    <row r="153" spans="1:97">
      <c r="A153" t="s">
        <v>38</v>
      </c>
      <c r="B153" t="s">
        <v>163</v>
      </c>
      <c r="C153" t="s">
        <v>39</v>
      </c>
      <c r="D153">
        <v>20167</v>
      </c>
      <c r="E153">
        <v>1243</v>
      </c>
      <c r="F153">
        <v>653.375</v>
      </c>
      <c r="G153">
        <v>7867</v>
      </c>
      <c r="H153">
        <v>484.99799999999999</v>
      </c>
      <c r="I153">
        <v>45216</v>
      </c>
      <c r="J153">
        <v>0.86</v>
      </c>
      <c r="K153">
        <v>1095</v>
      </c>
      <c r="L153">
        <v>776</v>
      </c>
      <c r="M153">
        <v>986</v>
      </c>
      <c r="N153">
        <v>667</v>
      </c>
      <c r="O153">
        <v>1972</v>
      </c>
      <c r="P153">
        <v>667</v>
      </c>
      <c r="Q153">
        <v>320</v>
      </c>
      <c r="R153">
        <v>0.24078250000000001</v>
      </c>
      <c r="S153">
        <v>1.478261</v>
      </c>
      <c r="T153">
        <v>0.4942356</v>
      </c>
      <c r="U153">
        <v>0.14986070000000001</v>
      </c>
      <c r="V153">
        <v>0.1377168</v>
      </c>
      <c r="W153">
        <v>0.86228320000000003</v>
      </c>
      <c r="X153">
        <v>2.2200000000000002E-3</v>
      </c>
      <c r="Y153" s="2">
        <f t="shared" si="4"/>
        <v>2.2200000000000002</v>
      </c>
      <c r="Z153">
        <v>36068885</v>
      </c>
      <c r="AA153">
        <v>28119441</v>
      </c>
      <c r="AB153">
        <v>12500</v>
      </c>
      <c r="AC153">
        <v>1.28</v>
      </c>
      <c r="AD153">
        <v>0.42</v>
      </c>
      <c r="AE153">
        <v>0.49</v>
      </c>
      <c r="AF153">
        <v>1.79</v>
      </c>
      <c r="AG153">
        <v>4122.03</v>
      </c>
      <c r="AH153">
        <v>143640.6</v>
      </c>
      <c r="AI153">
        <v>2651</v>
      </c>
      <c r="AJ153">
        <v>147763</v>
      </c>
      <c r="AK153">
        <v>16</v>
      </c>
      <c r="AL153">
        <v>9</v>
      </c>
      <c r="AM153">
        <v>15</v>
      </c>
      <c r="AN153">
        <v>8</v>
      </c>
      <c r="AO153">
        <v>0</v>
      </c>
      <c r="AP153">
        <v>927</v>
      </c>
      <c r="AQ153">
        <v>0</v>
      </c>
      <c r="AR153">
        <v>33</v>
      </c>
      <c r="AS153">
        <v>3</v>
      </c>
      <c r="AT153">
        <v>0</v>
      </c>
      <c r="AU153">
        <v>2651</v>
      </c>
      <c r="AV153">
        <v>1471</v>
      </c>
      <c r="AW153">
        <v>0</v>
      </c>
      <c r="AX153">
        <v>136936</v>
      </c>
      <c r="AY153">
        <v>0</v>
      </c>
      <c r="AZ153">
        <v>6160</v>
      </c>
      <c r="BA153">
        <v>544</v>
      </c>
      <c r="BB153">
        <v>0</v>
      </c>
      <c r="BC153">
        <v>368395</v>
      </c>
      <c r="BD153">
        <v>85</v>
      </c>
      <c r="BE153">
        <v>360383</v>
      </c>
      <c r="BF153">
        <v>29</v>
      </c>
      <c r="BG153">
        <v>202660</v>
      </c>
      <c r="BH153">
        <v>10454</v>
      </c>
      <c r="BI153">
        <v>19.38588</v>
      </c>
      <c r="BJ153">
        <v>27.103390000000001</v>
      </c>
      <c r="BK153">
        <v>27.103390000000001</v>
      </c>
      <c r="BL153">
        <v>27.103390000000001</v>
      </c>
      <c r="BM153">
        <v>496781.6</v>
      </c>
      <c r="BN153">
        <v>4970479</v>
      </c>
      <c r="BO153">
        <v>334.61950000000002</v>
      </c>
      <c r="BP153">
        <v>16.220680000000002</v>
      </c>
      <c r="BQ153">
        <v>4.1698399999999997E-2</v>
      </c>
      <c r="BR153">
        <v>20.629180000000002</v>
      </c>
      <c r="BS153">
        <v>1129159</v>
      </c>
      <c r="BT153">
        <v>585323.9</v>
      </c>
      <c r="BU153">
        <v>440476.7</v>
      </c>
      <c r="BV153" s="1">
        <v>20240000000</v>
      </c>
      <c r="BW153" s="1">
        <v>42430000000</v>
      </c>
      <c r="BX153" s="1">
        <v>6122000000</v>
      </c>
      <c r="BY153" s="1">
        <v>12380000000</v>
      </c>
      <c r="BZ153" s="1">
        <v>5358000000</v>
      </c>
      <c r="CA153" s="1">
        <v>11000000000</v>
      </c>
      <c r="CB153">
        <v>1008273</v>
      </c>
      <c r="CC153">
        <v>2114018</v>
      </c>
      <c r="CD153">
        <v>574526</v>
      </c>
      <c r="CE153">
        <v>1161466</v>
      </c>
      <c r="CF153">
        <v>696166</v>
      </c>
      <c r="CG153">
        <v>1424442</v>
      </c>
      <c r="CH153">
        <v>3</v>
      </c>
      <c r="CI153">
        <v>402</v>
      </c>
      <c r="CJ153">
        <v>478480</v>
      </c>
      <c r="CK153">
        <v>4980091</v>
      </c>
      <c r="CL153">
        <v>816</v>
      </c>
      <c r="CM153">
        <v>492625</v>
      </c>
      <c r="CN153">
        <v>4977029</v>
      </c>
      <c r="CO153">
        <v>20672.150000000001</v>
      </c>
      <c r="CP153">
        <v>7757.5450000000001</v>
      </c>
      <c r="CQ153">
        <v>20.672149999999998</v>
      </c>
      <c r="CR153">
        <v>7.7575450000000004</v>
      </c>
      <c r="CS153">
        <f t="shared" si="5"/>
        <v>876.82608695652175</v>
      </c>
    </row>
    <row r="154" spans="1:97">
      <c r="A154" t="s">
        <v>40</v>
      </c>
      <c r="B154" t="s">
        <v>160</v>
      </c>
      <c r="C154" t="s">
        <v>40</v>
      </c>
      <c r="D154">
        <v>6667</v>
      </c>
      <c r="E154">
        <v>1235</v>
      </c>
      <c r="F154">
        <v>725.2</v>
      </c>
      <c r="G154">
        <v>4236</v>
      </c>
      <c r="H154">
        <v>784.7663</v>
      </c>
      <c r="I154">
        <v>46724</v>
      </c>
      <c r="J154">
        <v>0.83</v>
      </c>
      <c r="K154">
        <v>391</v>
      </c>
      <c r="L154">
        <v>274</v>
      </c>
      <c r="M154">
        <v>349</v>
      </c>
      <c r="N154">
        <v>232</v>
      </c>
      <c r="O154">
        <v>698</v>
      </c>
      <c r="P154">
        <v>232</v>
      </c>
      <c r="Q154">
        <v>118</v>
      </c>
      <c r="R154">
        <v>0.25708059999999999</v>
      </c>
      <c r="S154">
        <v>1.50431</v>
      </c>
      <c r="T154">
        <v>0.5057971</v>
      </c>
      <c r="U154">
        <v>0.17830280000000001</v>
      </c>
      <c r="V154">
        <v>9.4309900000000002E-2</v>
      </c>
      <c r="W154">
        <v>0.90569010000000005</v>
      </c>
      <c r="X154">
        <v>6.5120000000000004E-3</v>
      </c>
      <c r="Y154" s="2">
        <f t="shared" si="4"/>
        <v>6.5120000000000005</v>
      </c>
      <c r="Z154">
        <v>20680676</v>
      </c>
      <c r="AA154">
        <v>15265074</v>
      </c>
      <c r="AB154">
        <v>12500</v>
      </c>
      <c r="AC154">
        <v>1.35</v>
      </c>
      <c r="AD154">
        <v>0.69</v>
      </c>
      <c r="AE154">
        <v>0.76</v>
      </c>
      <c r="AF154">
        <v>0</v>
      </c>
      <c r="AG154">
        <v>6316.57</v>
      </c>
      <c r="AH154">
        <v>55911.11</v>
      </c>
      <c r="AI154">
        <v>0</v>
      </c>
      <c r="AJ154">
        <v>62228</v>
      </c>
      <c r="AK154">
        <v>5</v>
      </c>
      <c r="AL154">
        <v>12</v>
      </c>
      <c r="AM154">
        <v>0</v>
      </c>
      <c r="AN154">
        <v>31</v>
      </c>
      <c r="AO154">
        <v>0</v>
      </c>
      <c r="AP154">
        <v>305</v>
      </c>
      <c r="AQ154">
        <v>0</v>
      </c>
      <c r="AR154">
        <v>10</v>
      </c>
      <c r="AS154">
        <v>3</v>
      </c>
      <c r="AT154">
        <v>0</v>
      </c>
      <c r="AU154">
        <v>0</v>
      </c>
      <c r="AV154">
        <v>6317</v>
      </c>
      <c r="AW154">
        <v>0</v>
      </c>
      <c r="AX154">
        <v>53048</v>
      </c>
      <c r="AY154">
        <v>0</v>
      </c>
      <c r="AZ154">
        <v>2526</v>
      </c>
      <c r="BA154">
        <v>337</v>
      </c>
      <c r="BB154">
        <v>0</v>
      </c>
      <c r="BC154">
        <v>132361</v>
      </c>
      <c r="BD154">
        <v>33</v>
      </c>
      <c r="BE154">
        <v>125455</v>
      </c>
      <c r="BF154">
        <v>30</v>
      </c>
      <c r="BG154">
        <v>88125</v>
      </c>
      <c r="BH154">
        <v>3626</v>
      </c>
      <c r="BI154">
        <v>24.303640000000001</v>
      </c>
      <c r="BJ154">
        <v>26.605460000000001</v>
      </c>
      <c r="BK154">
        <v>26.605460000000001</v>
      </c>
      <c r="BL154">
        <v>26.605460000000001</v>
      </c>
      <c r="BM154">
        <v>480717.3</v>
      </c>
      <c r="BN154">
        <v>4995879</v>
      </c>
      <c r="BO154">
        <v>124.4602</v>
      </c>
      <c r="BP154">
        <v>5.397786</v>
      </c>
      <c r="BQ154">
        <v>3.9983600000000001E-2</v>
      </c>
      <c r="BR154">
        <v>23.057639999999999</v>
      </c>
      <c r="BS154">
        <v>968974.9</v>
      </c>
      <c r="BT154">
        <v>526999.1</v>
      </c>
      <c r="BU154">
        <v>615655.80000000005</v>
      </c>
      <c r="BV154" s="1">
        <v>6141000000</v>
      </c>
      <c r="BW154" s="1">
        <v>13430000000</v>
      </c>
      <c r="BX154" s="1">
        <v>2118000000</v>
      </c>
      <c r="BY154" s="1">
        <v>4186000000</v>
      </c>
      <c r="BZ154" s="1">
        <v>2911000000</v>
      </c>
      <c r="CA154" s="1">
        <v>5830000000</v>
      </c>
      <c r="CB154">
        <v>921048</v>
      </c>
      <c r="CC154">
        <v>2013730</v>
      </c>
      <c r="CD154">
        <v>561279</v>
      </c>
      <c r="CE154">
        <v>1109409</v>
      </c>
      <c r="CF154">
        <v>661404</v>
      </c>
      <c r="CG154">
        <v>1323888</v>
      </c>
      <c r="CH154">
        <v>3</v>
      </c>
      <c r="CI154">
        <v>402</v>
      </c>
      <c r="CJ154">
        <v>478480</v>
      </c>
      <c r="CK154">
        <v>4980091</v>
      </c>
      <c r="CL154">
        <v>816</v>
      </c>
      <c r="CM154">
        <v>492625</v>
      </c>
      <c r="CN154">
        <v>4977029</v>
      </c>
      <c r="CO154">
        <v>15945.73</v>
      </c>
      <c r="CP154">
        <v>22296.12</v>
      </c>
      <c r="CQ154">
        <v>15.945729999999999</v>
      </c>
      <c r="CR154">
        <v>22.296119999999998</v>
      </c>
      <c r="CS154">
        <f t="shared" si="5"/>
        <v>862.11206896551721</v>
      </c>
    </row>
    <row r="155" spans="1:97">
      <c r="A155" t="s">
        <v>41</v>
      </c>
      <c r="B155" t="s">
        <v>255</v>
      </c>
      <c r="C155" t="s">
        <v>41</v>
      </c>
      <c r="D155">
        <v>3681</v>
      </c>
      <c r="E155">
        <v>44</v>
      </c>
      <c r="F155">
        <v>23.204820000000002</v>
      </c>
      <c r="G155">
        <v>161</v>
      </c>
      <c r="H155">
        <v>1.9311780000000001</v>
      </c>
      <c r="I155">
        <v>80141</v>
      </c>
      <c r="J155">
        <v>0.86</v>
      </c>
      <c r="K155">
        <v>348</v>
      </c>
      <c r="L155">
        <v>320</v>
      </c>
      <c r="M155">
        <v>265</v>
      </c>
      <c r="N155">
        <v>237</v>
      </c>
      <c r="O155">
        <v>530</v>
      </c>
      <c r="P155">
        <v>237</v>
      </c>
      <c r="Q155">
        <v>29</v>
      </c>
      <c r="R155">
        <v>6.1833699999999998E-2</v>
      </c>
      <c r="S155">
        <v>1.1181430000000001</v>
      </c>
      <c r="T155">
        <v>0.37588650000000001</v>
      </c>
      <c r="U155">
        <v>0.57885310000000001</v>
      </c>
      <c r="V155">
        <v>0.3267466</v>
      </c>
      <c r="W155">
        <v>0.6732534</v>
      </c>
      <c r="X155">
        <v>4.738E-3</v>
      </c>
      <c r="Y155" s="2">
        <f t="shared" si="4"/>
        <v>4.7380000000000004</v>
      </c>
      <c r="Z155">
        <v>78328375</v>
      </c>
      <c r="AA155">
        <v>55184735</v>
      </c>
      <c r="AB155">
        <v>12050</v>
      </c>
      <c r="AC155">
        <v>1.42</v>
      </c>
      <c r="AD155">
        <v>0.31</v>
      </c>
      <c r="AE155">
        <v>0.38</v>
      </c>
      <c r="AF155">
        <v>0</v>
      </c>
      <c r="AG155">
        <v>11179.82</v>
      </c>
      <c r="AH155">
        <v>142216.29999999999</v>
      </c>
      <c r="AI155">
        <v>0</v>
      </c>
      <c r="AJ155">
        <v>153396</v>
      </c>
      <c r="AK155">
        <v>83</v>
      </c>
      <c r="AL155">
        <v>2</v>
      </c>
      <c r="AM155">
        <v>0</v>
      </c>
      <c r="AN155">
        <v>0</v>
      </c>
      <c r="AO155">
        <v>15</v>
      </c>
      <c r="AP155">
        <v>250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11180</v>
      </c>
      <c r="AX155">
        <v>142216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103200</v>
      </c>
      <c r="BF155">
        <v>45</v>
      </c>
      <c r="BG155">
        <v>50905</v>
      </c>
      <c r="BH155">
        <v>1926</v>
      </c>
      <c r="BI155">
        <v>26.430430000000001</v>
      </c>
      <c r="BJ155">
        <v>28.488939999999999</v>
      </c>
      <c r="BK155">
        <v>28.488939999999999</v>
      </c>
      <c r="BL155">
        <v>28.488939999999999</v>
      </c>
      <c r="BM155">
        <v>463215.3</v>
      </c>
      <c r="BN155">
        <v>4946389</v>
      </c>
      <c r="BO155">
        <v>393.16140000000001</v>
      </c>
      <c r="BP155">
        <v>83.368819999999999</v>
      </c>
      <c r="BQ155">
        <v>0.61754679999999995</v>
      </c>
      <c r="BR155">
        <v>4.715929</v>
      </c>
      <c r="BS155">
        <v>36182.79</v>
      </c>
      <c r="BT155">
        <v>18931.82</v>
      </c>
      <c r="BU155">
        <v>1582.567</v>
      </c>
      <c r="BV155" s="1">
        <v>660800000</v>
      </c>
      <c r="BW155" s="1">
        <v>2238000000</v>
      </c>
      <c r="BX155" s="1">
        <v>221600000</v>
      </c>
      <c r="BY155" s="1">
        <v>883500000</v>
      </c>
      <c r="BZ155">
        <v>9208800</v>
      </c>
      <c r="CA155" s="1">
        <v>35600000</v>
      </c>
      <c r="CB155">
        <v>166702</v>
      </c>
      <c r="CC155">
        <v>564473</v>
      </c>
      <c r="CD155">
        <v>96826</v>
      </c>
      <c r="CE155">
        <v>386113</v>
      </c>
      <c r="CF155">
        <v>65777</v>
      </c>
      <c r="CG155">
        <v>254446</v>
      </c>
      <c r="CH155">
        <v>3</v>
      </c>
      <c r="CI155">
        <v>402</v>
      </c>
      <c r="CJ155">
        <v>478480</v>
      </c>
      <c r="CK155">
        <v>4980091</v>
      </c>
      <c r="CL155">
        <v>816</v>
      </c>
      <c r="CM155">
        <v>492625</v>
      </c>
      <c r="CN155">
        <v>4977029</v>
      </c>
      <c r="CO155">
        <v>36997.800000000003</v>
      </c>
      <c r="CP155">
        <v>42470.5</v>
      </c>
      <c r="CQ155">
        <v>36.997799999999998</v>
      </c>
      <c r="CR155">
        <v>42.470500000000001</v>
      </c>
      <c r="CS155">
        <f t="shared" si="5"/>
        <v>698.92405063291142</v>
      </c>
    </row>
    <row r="156" spans="1:97">
      <c r="A156" t="s">
        <v>42</v>
      </c>
      <c r="B156" t="s">
        <v>182</v>
      </c>
      <c r="C156" t="s">
        <v>42</v>
      </c>
      <c r="D156">
        <v>1717</v>
      </c>
      <c r="E156">
        <v>1095</v>
      </c>
      <c r="F156">
        <v>396</v>
      </c>
      <c r="G156">
        <v>943</v>
      </c>
      <c r="H156">
        <v>601.65940000000001</v>
      </c>
      <c r="I156">
        <v>36071</v>
      </c>
      <c r="J156">
        <v>0.83</v>
      </c>
      <c r="K156">
        <v>94</v>
      </c>
      <c r="L156">
        <v>90</v>
      </c>
      <c r="M156">
        <v>84</v>
      </c>
      <c r="N156">
        <v>80</v>
      </c>
      <c r="O156">
        <v>168</v>
      </c>
      <c r="P156">
        <v>80</v>
      </c>
      <c r="Q156">
        <v>5</v>
      </c>
      <c r="R156">
        <v>3.2258099999999998E-2</v>
      </c>
      <c r="S156">
        <v>1.05</v>
      </c>
      <c r="T156">
        <v>0.35897440000000003</v>
      </c>
      <c r="U156">
        <v>0.12276620000000001</v>
      </c>
      <c r="V156">
        <v>0.80341969999999996</v>
      </c>
      <c r="W156">
        <v>0.19658030000000001</v>
      </c>
      <c r="X156">
        <v>1.3291000000000001E-2</v>
      </c>
      <c r="Y156" s="2">
        <f t="shared" si="4"/>
        <v>13.291</v>
      </c>
      <c r="Z156">
        <v>13361070</v>
      </c>
      <c r="AA156">
        <v>10044765</v>
      </c>
      <c r="AB156">
        <v>12500</v>
      </c>
      <c r="AC156">
        <v>1.33</v>
      </c>
      <c r="AD156">
        <v>0.09</v>
      </c>
      <c r="AE156">
        <v>0.28000000000000003</v>
      </c>
      <c r="AF156">
        <v>0</v>
      </c>
      <c r="AG156">
        <v>0</v>
      </c>
      <c r="AH156">
        <v>10312.36</v>
      </c>
      <c r="AI156">
        <v>0</v>
      </c>
      <c r="AJ156">
        <v>10312</v>
      </c>
      <c r="AK156">
        <v>2</v>
      </c>
      <c r="AL156">
        <v>7</v>
      </c>
      <c r="AM156">
        <v>0</v>
      </c>
      <c r="AN156">
        <v>0</v>
      </c>
      <c r="AO156">
        <v>0</v>
      </c>
      <c r="AP156">
        <v>83</v>
      </c>
      <c r="AQ156">
        <v>0</v>
      </c>
      <c r="AR156">
        <v>0</v>
      </c>
      <c r="AS156">
        <v>1</v>
      </c>
      <c r="AT156">
        <v>0</v>
      </c>
      <c r="AU156">
        <v>0</v>
      </c>
      <c r="AV156">
        <v>0</v>
      </c>
      <c r="AW156">
        <v>0</v>
      </c>
      <c r="AX156">
        <v>9807</v>
      </c>
      <c r="AY156">
        <v>0</v>
      </c>
      <c r="AZ156">
        <v>0</v>
      </c>
      <c r="BA156">
        <v>505</v>
      </c>
      <c r="BB156">
        <v>0</v>
      </c>
      <c r="BC156">
        <v>24366</v>
      </c>
      <c r="BD156">
        <v>5</v>
      </c>
      <c r="BE156">
        <v>24234</v>
      </c>
      <c r="BF156">
        <v>23</v>
      </c>
      <c r="BG156">
        <v>23890</v>
      </c>
      <c r="BH156">
        <v>792</v>
      </c>
      <c r="BI156">
        <v>30.16414</v>
      </c>
      <c r="BJ156">
        <v>27.466439999999999</v>
      </c>
      <c r="BK156">
        <v>27.466439999999999</v>
      </c>
      <c r="BL156">
        <v>27.466439999999999</v>
      </c>
      <c r="BM156">
        <v>450134.4</v>
      </c>
      <c r="BN156">
        <v>4976077</v>
      </c>
      <c r="BO156">
        <v>38.063220000000001</v>
      </c>
      <c r="BP156">
        <v>1.5673319999999999</v>
      </c>
      <c r="BQ156">
        <v>4.4780899999999998E-2</v>
      </c>
      <c r="BR156">
        <v>24.285360000000001</v>
      </c>
      <c r="BS156">
        <v>950164.3</v>
      </c>
      <c r="BT156">
        <v>438282</v>
      </c>
      <c r="BU156">
        <v>521843.3</v>
      </c>
      <c r="CH156">
        <v>1</v>
      </c>
      <c r="CI156">
        <v>402</v>
      </c>
      <c r="CJ156">
        <v>478480</v>
      </c>
      <c r="CK156">
        <v>4980091</v>
      </c>
      <c r="CL156">
        <v>816</v>
      </c>
      <c r="CM156">
        <v>492625</v>
      </c>
      <c r="CN156">
        <v>4977029</v>
      </c>
      <c r="CO156">
        <v>28628.39</v>
      </c>
      <c r="CP156">
        <v>42501.26</v>
      </c>
      <c r="CQ156">
        <v>28.62839</v>
      </c>
      <c r="CR156">
        <v>42.501260000000002</v>
      </c>
      <c r="CS156">
        <f t="shared" si="5"/>
        <v>493.63749999999999</v>
      </c>
    </row>
    <row r="157" spans="1:97">
      <c r="A157" t="s">
        <v>43</v>
      </c>
      <c r="B157" t="s">
        <v>182</v>
      </c>
      <c r="C157" t="s">
        <v>149</v>
      </c>
      <c r="D157">
        <v>5664</v>
      </c>
      <c r="E157">
        <v>928</v>
      </c>
      <c r="F157">
        <v>412.5</v>
      </c>
      <c r="G157">
        <v>3324</v>
      </c>
      <c r="H157">
        <v>544.8963</v>
      </c>
      <c r="I157">
        <v>54031</v>
      </c>
      <c r="J157">
        <v>0.81</v>
      </c>
      <c r="K157">
        <v>397</v>
      </c>
      <c r="L157">
        <v>251</v>
      </c>
      <c r="M157">
        <v>362</v>
      </c>
      <c r="N157">
        <v>216</v>
      </c>
      <c r="O157">
        <v>724</v>
      </c>
      <c r="P157">
        <v>216</v>
      </c>
      <c r="Q157">
        <v>147</v>
      </c>
      <c r="R157">
        <v>0.34426230000000002</v>
      </c>
      <c r="S157">
        <v>1.675926</v>
      </c>
      <c r="T157">
        <v>0.56386289999999994</v>
      </c>
      <c r="U157">
        <v>0.1701145</v>
      </c>
      <c r="V157">
        <v>0.1158648</v>
      </c>
      <c r="W157">
        <v>0.88413520000000001</v>
      </c>
      <c r="X157">
        <v>7.7949999999999998E-3</v>
      </c>
      <c r="Y157" s="2">
        <f t="shared" si="4"/>
        <v>7.7949999999999999</v>
      </c>
      <c r="Z157">
        <v>20375710</v>
      </c>
      <c r="AA157">
        <v>15919216</v>
      </c>
      <c r="AB157">
        <v>12250</v>
      </c>
      <c r="AC157">
        <v>1.28</v>
      </c>
      <c r="AD157">
        <v>0</v>
      </c>
      <c r="AE157">
        <v>0</v>
      </c>
      <c r="AF157">
        <v>0</v>
      </c>
      <c r="AG157">
        <v>0</v>
      </c>
      <c r="AH157">
        <v>61581.47</v>
      </c>
      <c r="AI157">
        <v>0</v>
      </c>
      <c r="AJ157">
        <v>61581</v>
      </c>
      <c r="AK157">
        <v>6</v>
      </c>
      <c r="AL157">
        <v>10</v>
      </c>
      <c r="AM157">
        <v>0</v>
      </c>
      <c r="AN157">
        <v>0</v>
      </c>
      <c r="AO157">
        <v>0</v>
      </c>
      <c r="AP157">
        <v>362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61581</v>
      </c>
      <c r="AY157">
        <v>0</v>
      </c>
      <c r="AZ157">
        <v>0</v>
      </c>
      <c r="BA157">
        <v>0</v>
      </c>
      <c r="BB157">
        <v>0</v>
      </c>
      <c r="BC157">
        <v>83871</v>
      </c>
      <c r="BD157">
        <v>29</v>
      </c>
      <c r="BE157">
        <v>65790</v>
      </c>
      <c r="BF157">
        <v>19</v>
      </c>
      <c r="BG157">
        <v>48155</v>
      </c>
      <c r="BH157">
        <v>2475</v>
      </c>
      <c r="BI157">
        <v>19.456569999999999</v>
      </c>
      <c r="BJ157">
        <v>26.680299999999999</v>
      </c>
      <c r="BK157">
        <v>26.680299999999999</v>
      </c>
      <c r="BL157">
        <v>26.680299999999999</v>
      </c>
      <c r="BM157">
        <v>482874.3</v>
      </c>
      <c r="BN157">
        <v>4986055</v>
      </c>
      <c r="BO157">
        <v>127.83759999999999</v>
      </c>
      <c r="BP157">
        <v>6.100244</v>
      </c>
      <c r="BQ157">
        <v>4.0133200000000001E-2</v>
      </c>
      <c r="BR157">
        <v>20.956140000000001</v>
      </c>
      <c r="BS157">
        <v>1160862</v>
      </c>
      <c r="BT157">
        <v>358603.8</v>
      </c>
      <c r="BU157">
        <v>481615.8</v>
      </c>
      <c r="BV157" s="1">
        <v>9174000000</v>
      </c>
      <c r="BW157" s="1">
        <v>16440000000</v>
      </c>
      <c r="BX157" s="1">
        <v>2523000000</v>
      </c>
      <c r="BY157" s="1">
        <v>4391000000</v>
      </c>
      <c r="BZ157" s="1">
        <v>3460000000</v>
      </c>
      <c r="CA157" s="1">
        <v>5770000000</v>
      </c>
      <c r="CB157">
        <v>1371236</v>
      </c>
      <c r="CC157">
        <v>2457480</v>
      </c>
      <c r="CD157">
        <v>772040</v>
      </c>
      <c r="CE157">
        <v>1343612</v>
      </c>
      <c r="CF157">
        <v>986563</v>
      </c>
      <c r="CG157">
        <v>1645915</v>
      </c>
      <c r="CH157">
        <v>3</v>
      </c>
      <c r="CI157">
        <v>402</v>
      </c>
      <c r="CJ157">
        <v>478480</v>
      </c>
      <c r="CK157">
        <v>4980091</v>
      </c>
      <c r="CL157">
        <v>816</v>
      </c>
      <c r="CM157">
        <v>492625</v>
      </c>
      <c r="CN157">
        <v>4977029</v>
      </c>
      <c r="CO157">
        <v>7408.018</v>
      </c>
      <c r="CP157">
        <v>13287.05</v>
      </c>
      <c r="CQ157">
        <v>7.4080180000000002</v>
      </c>
      <c r="CR157">
        <v>13.287050000000001</v>
      </c>
      <c r="CS157">
        <f t="shared" si="5"/>
        <v>498.22222222222223</v>
      </c>
    </row>
    <row r="158" spans="1:97">
      <c r="A158" t="s">
        <v>150</v>
      </c>
      <c r="B158" t="s">
        <v>182</v>
      </c>
      <c r="C158" t="s">
        <v>151</v>
      </c>
      <c r="D158">
        <v>1873</v>
      </c>
      <c r="E158">
        <v>699</v>
      </c>
      <c r="F158">
        <v>335.66669999999999</v>
      </c>
      <c r="G158">
        <v>423</v>
      </c>
      <c r="H158">
        <v>157.83760000000001</v>
      </c>
      <c r="I158">
        <v>65446</v>
      </c>
      <c r="J158">
        <v>0.89</v>
      </c>
      <c r="K158">
        <v>107</v>
      </c>
      <c r="L158">
        <v>94</v>
      </c>
      <c r="M158">
        <v>96</v>
      </c>
      <c r="N158">
        <v>83</v>
      </c>
      <c r="O158">
        <v>192</v>
      </c>
      <c r="P158">
        <v>83</v>
      </c>
      <c r="Q158">
        <v>14</v>
      </c>
      <c r="R158">
        <v>8.6956500000000006E-2</v>
      </c>
      <c r="S158">
        <v>1.1566259999999999</v>
      </c>
      <c r="T158">
        <v>0.39506170000000002</v>
      </c>
      <c r="U158">
        <v>0.19307009999999999</v>
      </c>
      <c r="V158">
        <v>0.39003650000000001</v>
      </c>
      <c r="W158">
        <v>0.60996349999999999</v>
      </c>
      <c r="X158">
        <v>1.4104999999999999E-2</v>
      </c>
      <c r="Y158" s="2">
        <f t="shared" si="4"/>
        <v>14.104999999999999</v>
      </c>
      <c r="Z158">
        <v>13888056</v>
      </c>
      <c r="AA158">
        <v>9067608</v>
      </c>
      <c r="AB158">
        <v>11494</v>
      </c>
      <c r="AC158">
        <v>1.53</v>
      </c>
      <c r="AD158">
        <v>1.24</v>
      </c>
      <c r="AE158">
        <v>1.24</v>
      </c>
      <c r="AF158">
        <v>0</v>
      </c>
      <c r="AG158">
        <v>1669.17</v>
      </c>
      <c r="AH158">
        <v>16865.560000000001</v>
      </c>
      <c r="AI158">
        <v>0</v>
      </c>
      <c r="AJ158">
        <v>18535</v>
      </c>
      <c r="AK158">
        <v>3</v>
      </c>
      <c r="AL158">
        <v>7</v>
      </c>
      <c r="AM158">
        <v>0</v>
      </c>
      <c r="AN158">
        <v>0</v>
      </c>
      <c r="AO158">
        <v>8</v>
      </c>
      <c r="AP158">
        <v>60</v>
      </c>
      <c r="AQ158">
        <v>0</v>
      </c>
      <c r="AR158">
        <v>0</v>
      </c>
      <c r="AS158">
        <v>28</v>
      </c>
      <c r="AT158">
        <v>0</v>
      </c>
      <c r="AU158">
        <v>0</v>
      </c>
      <c r="AV158">
        <v>0</v>
      </c>
      <c r="AW158">
        <v>1669</v>
      </c>
      <c r="AX158">
        <v>11775</v>
      </c>
      <c r="AY158">
        <v>0</v>
      </c>
      <c r="AZ158">
        <v>0</v>
      </c>
      <c r="BA158">
        <v>5091</v>
      </c>
      <c r="BB158">
        <v>0</v>
      </c>
      <c r="BC158">
        <v>21004</v>
      </c>
      <c r="BD158">
        <v>7</v>
      </c>
      <c r="BE158">
        <v>21357</v>
      </c>
      <c r="BF158">
        <v>18</v>
      </c>
      <c r="BG158">
        <v>30730</v>
      </c>
      <c r="BH158">
        <v>1007</v>
      </c>
      <c r="BI158">
        <v>30.516390000000001</v>
      </c>
      <c r="BJ158">
        <v>26.02176</v>
      </c>
      <c r="BK158">
        <v>26.02176</v>
      </c>
      <c r="BL158">
        <v>26.02176</v>
      </c>
      <c r="BM158">
        <v>440984.6</v>
      </c>
      <c r="BN158">
        <v>4972715</v>
      </c>
      <c r="BO158">
        <v>42.127409999999998</v>
      </c>
      <c r="BP158">
        <v>2.6799689999999998</v>
      </c>
      <c r="BQ158">
        <v>8.1211199999999997E-2</v>
      </c>
      <c r="BR158">
        <v>15.71936</v>
      </c>
      <c r="BS158">
        <v>410366.3</v>
      </c>
      <c r="BT158">
        <v>220629.4</v>
      </c>
      <c r="BU158">
        <v>92677.48</v>
      </c>
      <c r="CH158">
        <v>1</v>
      </c>
      <c r="CI158">
        <v>402</v>
      </c>
      <c r="CJ158">
        <v>478480</v>
      </c>
      <c r="CK158">
        <v>4980091</v>
      </c>
      <c r="CL158">
        <v>816</v>
      </c>
      <c r="CM158">
        <v>492625</v>
      </c>
      <c r="CN158">
        <v>4977029</v>
      </c>
      <c r="CO158">
        <v>38214.04</v>
      </c>
      <c r="CP158">
        <v>51820.32</v>
      </c>
      <c r="CQ158">
        <v>38.214039999999997</v>
      </c>
      <c r="CR158">
        <v>51.820320000000002</v>
      </c>
      <c r="CS158">
        <f t="shared" si="5"/>
        <v>406.19277108433732</v>
      </c>
    </row>
    <row r="159" spans="1:97">
      <c r="A159" t="s">
        <v>152</v>
      </c>
      <c r="B159" t="s">
        <v>160</v>
      </c>
      <c r="C159" t="s">
        <v>153</v>
      </c>
      <c r="D159">
        <v>4910</v>
      </c>
      <c r="E159">
        <v>81</v>
      </c>
      <c r="F159">
        <v>39.983609999999999</v>
      </c>
      <c r="G159">
        <v>1136</v>
      </c>
      <c r="H159">
        <v>18.70506</v>
      </c>
      <c r="I159">
        <v>51982</v>
      </c>
      <c r="J159">
        <v>0.89</v>
      </c>
      <c r="K159">
        <v>448</v>
      </c>
      <c r="L159">
        <v>396</v>
      </c>
      <c r="M159">
        <v>340</v>
      </c>
      <c r="N159">
        <v>288</v>
      </c>
      <c r="O159">
        <v>680</v>
      </c>
      <c r="P159">
        <v>288</v>
      </c>
      <c r="Q159">
        <v>53</v>
      </c>
      <c r="R159">
        <v>9.2819600000000002E-2</v>
      </c>
      <c r="S159">
        <v>1.1805559999999999</v>
      </c>
      <c r="T159">
        <v>0.39627040000000002</v>
      </c>
      <c r="U159">
        <v>0.38126510000000002</v>
      </c>
      <c r="V159">
        <v>0.4125065</v>
      </c>
      <c r="W159">
        <v>0.5874935</v>
      </c>
      <c r="X159">
        <v>4.1130000000000003E-3</v>
      </c>
      <c r="Y159" s="2">
        <f t="shared" si="4"/>
        <v>4.1130000000000004</v>
      </c>
      <c r="Z159">
        <v>89802971</v>
      </c>
      <c r="AA159">
        <v>69957017</v>
      </c>
      <c r="AB159">
        <v>11668</v>
      </c>
      <c r="AC159">
        <v>1.28</v>
      </c>
      <c r="AD159">
        <v>0.19</v>
      </c>
      <c r="AE159">
        <v>0.19</v>
      </c>
      <c r="AF159">
        <v>0</v>
      </c>
      <c r="AG159">
        <v>3759.05</v>
      </c>
      <c r="AH159">
        <v>125871.1</v>
      </c>
      <c r="AI159">
        <v>0</v>
      </c>
      <c r="AJ159">
        <v>129630</v>
      </c>
      <c r="AK159">
        <v>61</v>
      </c>
      <c r="AL159">
        <v>2</v>
      </c>
      <c r="AM159">
        <v>0</v>
      </c>
      <c r="AN159">
        <v>0</v>
      </c>
      <c r="AO159">
        <v>10</v>
      </c>
      <c r="AP159">
        <v>330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3759</v>
      </c>
      <c r="AX159">
        <v>125871</v>
      </c>
      <c r="AY159">
        <v>0</v>
      </c>
      <c r="AZ159">
        <v>0</v>
      </c>
      <c r="BA159">
        <v>0</v>
      </c>
      <c r="BB159">
        <v>0</v>
      </c>
      <c r="BC159">
        <v>73561</v>
      </c>
      <c r="BD159">
        <v>49</v>
      </c>
      <c r="BE159">
        <v>73912</v>
      </c>
      <c r="BF159">
        <v>24</v>
      </c>
      <c r="BG159">
        <v>87520</v>
      </c>
      <c r="BH159">
        <v>2439</v>
      </c>
      <c r="BI159">
        <v>35.883560000000003</v>
      </c>
      <c r="BJ159">
        <v>27.360769999999999</v>
      </c>
      <c r="BK159">
        <v>27.360769999999999</v>
      </c>
      <c r="BL159">
        <v>27.360769999999999</v>
      </c>
      <c r="BM159">
        <v>469429</v>
      </c>
      <c r="BN159">
        <v>5027333</v>
      </c>
      <c r="BO159">
        <v>296.37079999999997</v>
      </c>
      <c r="BP159">
        <v>60.732239999999997</v>
      </c>
      <c r="BQ159">
        <v>0.5954142</v>
      </c>
      <c r="BR159">
        <v>4.8799580000000002</v>
      </c>
      <c r="BS159">
        <v>74711.55</v>
      </c>
      <c r="BT159">
        <v>37112.32</v>
      </c>
      <c r="BU159">
        <v>17285.61</v>
      </c>
      <c r="BV159" s="1">
        <v>227300000</v>
      </c>
      <c r="BW159" s="1">
        <v>958300000</v>
      </c>
      <c r="BX159">
        <v>63606726</v>
      </c>
      <c r="BY159" s="1">
        <v>317300000</v>
      </c>
      <c r="BZ159">
        <v>7171574</v>
      </c>
      <c r="CA159" s="1">
        <v>70200000</v>
      </c>
      <c r="CB159">
        <v>43127</v>
      </c>
      <c r="CC159">
        <v>181804</v>
      </c>
      <c r="CD159">
        <v>24202</v>
      </c>
      <c r="CE159">
        <v>120729</v>
      </c>
      <c r="CF159">
        <v>4859</v>
      </c>
      <c r="CG159">
        <v>47542</v>
      </c>
      <c r="CH159">
        <v>3</v>
      </c>
      <c r="CI159">
        <v>402</v>
      </c>
      <c r="CJ159">
        <v>478480</v>
      </c>
      <c r="CK159">
        <v>4980091</v>
      </c>
      <c r="CL159">
        <v>816</v>
      </c>
      <c r="CM159">
        <v>492625</v>
      </c>
      <c r="CN159">
        <v>4977029</v>
      </c>
      <c r="CO159">
        <v>48101.22</v>
      </c>
      <c r="CP159">
        <v>55394.46</v>
      </c>
      <c r="CQ159">
        <v>48.101219999999998</v>
      </c>
      <c r="CR159">
        <v>55.394469999999998</v>
      </c>
      <c r="CS159">
        <f t="shared" si="5"/>
        <v>409.16666666666669</v>
      </c>
    </row>
    <row r="160" spans="1:97">
      <c r="A160" t="s">
        <v>154</v>
      </c>
      <c r="B160" t="s">
        <v>255</v>
      </c>
      <c r="C160" t="s">
        <v>155</v>
      </c>
      <c r="D160">
        <v>472</v>
      </c>
      <c r="E160">
        <v>12</v>
      </c>
      <c r="F160">
        <v>7.4473690000000001</v>
      </c>
      <c r="G160">
        <v>132</v>
      </c>
      <c r="H160">
        <v>3.461268</v>
      </c>
      <c r="I160">
        <v>66750</v>
      </c>
      <c r="J160">
        <v>0.92</v>
      </c>
      <c r="K160">
        <v>90</v>
      </c>
      <c r="L160">
        <v>82</v>
      </c>
      <c r="M160">
        <v>69</v>
      </c>
      <c r="N160">
        <v>61</v>
      </c>
      <c r="O160">
        <v>138</v>
      </c>
      <c r="P160">
        <v>61</v>
      </c>
      <c r="Q160">
        <v>9</v>
      </c>
      <c r="R160">
        <v>7.6923099999999994E-2</v>
      </c>
      <c r="S160">
        <v>1.131148</v>
      </c>
      <c r="T160">
        <v>0.38983050000000002</v>
      </c>
      <c r="U160">
        <v>0.82183740000000005</v>
      </c>
      <c r="V160">
        <v>0.33686110000000002</v>
      </c>
      <c r="W160">
        <v>0.66313889999999998</v>
      </c>
      <c r="X160">
        <v>1.8852000000000001E-2</v>
      </c>
      <c r="Y160" s="2">
        <f t="shared" si="4"/>
        <v>18.852</v>
      </c>
      <c r="Z160">
        <v>65516660</v>
      </c>
      <c r="AA160">
        <v>41905464</v>
      </c>
      <c r="AB160">
        <v>12202</v>
      </c>
      <c r="AC160">
        <v>1.56</v>
      </c>
      <c r="AD160">
        <v>0.61</v>
      </c>
      <c r="AE160">
        <v>0.74</v>
      </c>
      <c r="AF160">
        <v>0</v>
      </c>
      <c r="AG160">
        <v>8392.82</v>
      </c>
      <c r="AH160">
        <v>48313.96</v>
      </c>
      <c r="AI160">
        <v>0</v>
      </c>
      <c r="AJ160">
        <v>56707</v>
      </c>
      <c r="AK160">
        <v>38</v>
      </c>
      <c r="AL160">
        <v>1</v>
      </c>
      <c r="AM160">
        <v>0</v>
      </c>
      <c r="AN160">
        <v>6</v>
      </c>
      <c r="AO160">
        <v>0</v>
      </c>
      <c r="AP160">
        <v>61</v>
      </c>
      <c r="AQ160">
        <v>0</v>
      </c>
      <c r="AR160">
        <v>0</v>
      </c>
      <c r="AS160">
        <v>2</v>
      </c>
      <c r="AT160">
        <v>0</v>
      </c>
      <c r="AU160">
        <v>0</v>
      </c>
      <c r="AV160">
        <v>8393</v>
      </c>
      <c r="AW160">
        <v>0</v>
      </c>
      <c r="AX160">
        <v>47198</v>
      </c>
      <c r="AY160">
        <v>0</v>
      </c>
      <c r="AZ160">
        <v>0</v>
      </c>
      <c r="BA160">
        <v>1116</v>
      </c>
      <c r="BB160">
        <v>0</v>
      </c>
      <c r="BC160">
        <v>0</v>
      </c>
      <c r="BD160">
        <v>0</v>
      </c>
      <c r="BE160">
        <v>104990</v>
      </c>
      <c r="BF160">
        <v>358</v>
      </c>
      <c r="BG160">
        <v>7015</v>
      </c>
      <c r="BH160">
        <v>283</v>
      </c>
      <c r="BI160">
        <v>24.787990000000001</v>
      </c>
      <c r="BJ160">
        <v>27.737210000000001</v>
      </c>
      <c r="BK160">
        <v>27.737210000000001</v>
      </c>
      <c r="BL160">
        <v>27.737210000000001</v>
      </c>
      <c r="BM160">
        <v>445716.8</v>
      </c>
      <c r="BN160">
        <v>4944858</v>
      </c>
      <c r="BO160">
        <v>197.66679999999999</v>
      </c>
      <c r="BP160">
        <v>38.136310000000002</v>
      </c>
      <c r="BQ160">
        <v>0.65752259999999996</v>
      </c>
      <c r="BR160">
        <v>5.1831659999999999</v>
      </c>
      <c r="BS160">
        <v>7924.1779999999999</v>
      </c>
      <c r="BT160">
        <v>4751.1490000000003</v>
      </c>
      <c r="BU160">
        <v>2216.0830000000001</v>
      </c>
      <c r="BV160">
        <v>67549395</v>
      </c>
      <c r="BW160" s="1">
        <v>226400000</v>
      </c>
      <c r="BX160">
        <v>18874117</v>
      </c>
      <c r="BY160">
        <v>74986412</v>
      </c>
      <c r="BZ160">
        <v>4174550</v>
      </c>
      <c r="CA160" s="1">
        <v>21600000</v>
      </c>
      <c r="CB160">
        <v>112395</v>
      </c>
      <c r="CC160">
        <v>376730</v>
      </c>
      <c r="CD160">
        <v>60502</v>
      </c>
      <c r="CE160">
        <v>240372</v>
      </c>
      <c r="CF160">
        <v>28790</v>
      </c>
      <c r="CG160">
        <v>149233</v>
      </c>
      <c r="CH160">
        <v>3</v>
      </c>
      <c r="CI160">
        <v>402</v>
      </c>
      <c r="CJ160">
        <v>478480</v>
      </c>
      <c r="CK160">
        <v>4980091</v>
      </c>
      <c r="CL160">
        <v>816</v>
      </c>
      <c r="CM160">
        <v>492625</v>
      </c>
      <c r="CN160">
        <v>4977029</v>
      </c>
      <c r="CO160">
        <v>48112.25</v>
      </c>
      <c r="CP160">
        <v>56880.12</v>
      </c>
      <c r="CQ160">
        <v>48.112250000000003</v>
      </c>
      <c r="CR160">
        <v>56.880119999999998</v>
      </c>
      <c r="CS160">
        <f t="shared" si="5"/>
        <v>2770.0983606557379</v>
      </c>
    </row>
    <row r="161" spans="1:97">
      <c r="A161" t="s">
        <v>52</v>
      </c>
      <c r="B161" t="s">
        <v>182</v>
      </c>
      <c r="C161" t="s">
        <v>53</v>
      </c>
      <c r="D161">
        <v>44126</v>
      </c>
      <c r="E161">
        <v>1577</v>
      </c>
      <c r="F161">
        <v>906.32140000000004</v>
      </c>
      <c r="G161">
        <v>40734</v>
      </c>
      <c r="H161">
        <v>1455.93</v>
      </c>
      <c r="I161">
        <v>49260</v>
      </c>
      <c r="J161">
        <v>0.83</v>
      </c>
      <c r="K161">
        <v>2105</v>
      </c>
      <c r="L161">
        <v>1486</v>
      </c>
      <c r="M161">
        <v>1881</v>
      </c>
      <c r="N161">
        <v>1262</v>
      </c>
      <c r="O161">
        <v>3762</v>
      </c>
      <c r="P161">
        <v>1262</v>
      </c>
      <c r="Q161">
        <v>620</v>
      </c>
      <c r="R161">
        <v>0.2461294</v>
      </c>
      <c r="S161">
        <v>1.490491</v>
      </c>
      <c r="T161">
        <v>0.49761909999999998</v>
      </c>
      <c r="U161">
        <v>0.15700990000000001</v>
      </c>
      <c r="V161">
        <v>0.12811429999999999</v>
      </c>
      <c r="W161">
        <v>0.87188569999999999</v>
      </c>
      <c r="X161">
        <v>1.1820000000000001E-3</v>
      </c>
      <c r="Y161" s="2">
        <f t="shared" si="4"/>
        <v>1.1820000000000002</v>
      </c>
      <c r="Z161">
        <v>44893342</v>
      </c>
      <c r="AA161">
        <v>33908353</v>
      </c>
      <c r="AB161">
        <v>12200</v>
      </c>
      <c r="AC161">
        <v>1.32</v>
      </c>
      <c r="AD161">
        <v>0.63</v>
      </c>
      <c r="AE161">
        <v>0.75</v>
      </c>
      <c r="AF161">
        <v>4.66</v>
      </c>
      <c r="AG161">
        <v>17310.71</v>
      </c>
      <c r="AH161">
        <v>278024.90000000002</v>
      </c>
      <c r="AI161">
        <v>13765</v>
      </c>
      <c r="AJ161">
        <v>295336</v>
      </c>
      <c r="AK161">
        <v>28</v>
      </c>
      <c r="AL161">
        <v>11</v>
      </c>
      <c r="AM161">
        <v>61</v>
      </c>
      <c r="AN161">
        <v>0</v>
      </c>
      <c r="AO161">
        <v>19</v>
      </c>
      <c r="AP161">
        <v>1693</v>
      </c>
      <c r="AQ161">
        <v>0</v>
      </c>
      <c r="AR161">
        <v>93</v>
      </c>
      <c r="AS161">
        <v>15</v>
      </c>
      <c r="AT161">
        <v>0</v>
      </c>
      <c r="AU161">
        <v>13765</v>
      </c>
      <c r="AV161">
        <v>0</v>
      </c>
      <c r="AW161">
        <v>3545</v>
      </c>
      <c r="AX161">
        <v>258755</v>
      </c>
      <c r="AY161">
        <v>0</v>
      </c>
      <c r="AZ161">
        <v>15579</v>
      </c>
      <c r="BA161">
        <v>3691</v>
      </c>
      <c r="BB161">
        <v>0</v>
      </c>
      <c r="BC161">
        <v>1192008</v>
      </c>
      <c r="BD161">
        <v>169</v>
      </c>
      <c r="BE161">
        <v>1187328</v>
      </c>
      <c r="BF161">
        <v>43</v>
      </c>
      <c r="BG161">
        <v>494905</v>
      </c>
      <c r="BH161">
        <v>25377</v>
      </c>
      <c r="BI161">
        <v>19.502109999999998</v>
      </c>
      <c r="BJ161">
        <v>26.278030000000001</v>
      </c>
      <c r="BK161">
        <v>26.278030000000001</v>
      </c>
      <c r="BL161">
        <v>26.278030000000001</v>
      </c>
      <c r="BM161">
        <v>471211.6</v>
      </c>
      <c r="BN161">
        <v>4977325</v>
      </c>
      <c r="BO161">
        <v>582.00019999999995</v>
      </c>
      <c r="BP161">
        <v>27.977989999999998</v>
      </c>
      <c r="BQ161">
        <v>3.89124E-2</v>
      </c>
      <c r="BR161">
        <v>20.802070000000001</v>
      </c>
      <c r="BS161">
        <v>1263866</v>
      </c>
      <c r="BT161">
        <v>726853.1</v>
      </c>
      <c r="BU161">
        <v>1166711</v>
      </c>
      <c r="BV161" s="1">
        <v>54800000000</v>
      </c>
      <c r="BW161" s="1">
        <v>108800000000</v>
      </c>
      <c r="BX161" s="1">
        <v>19330000000</v>
      </c>
      <c r="BY161" s="1">
        <v>35580000000</v>
      </c>
      <c r="BZ161" s="1">
        <v>43540000000</v>
      </c>
      <c r="CA161" s="1">
        <v>66300000000</v>
      </c>
      <c r="CB161">
        <v>1208674</v>
      </c>
      <c r="CC161">
        <v>2399012</v>
      </c>
      <c r="CD161">
        <v>723927</v>
      </c>
      <c r="CE161">
        <v>1332804</v>
      </c>
      <c r="CF161">
        <v>1085948</v>
      </c>
      <c r="CG161">
        <v>1653245</v>
      </c>
      <c r="CH161">
        <v>3</v>
      </c>
      <c r="CI161">
        <v>402</v>
      </c>
      <c r="CJ161">
        <v>478480</v>
      </c>
      <c r="CK161">
        <v>4980091</v>
      </c>
      <c r="CL161">
        <v>816</v>
      </c>
      <c r="CM161">
        <v>492625</v>
      </c>
      <c r="CN161">
        <v>4977029</v>
      </c>
      <c r="CO161">
        <v>7777.1270000000004</v>
      </c>
      <c r="CP161">
        <v>21415.48</v>
      </c>
      <c r="CQ161">
        <v>7.7771270000000001</v>
      </c>
      <c r="CR161">
        <v>21.415479999999999</v>
      </c>
      <c r="CS161">
        <f t="shared" si="5"/>
        <v>1503.500792393027</v>
      </c>
    </row>
    <row r="162" spans="1:97">
      <c r="A162" t="s">
        <v>54</v>
      </c>
      <c r="B162" t="s">
        <v>158</v>
      </c>
      <c r="C162" t="s">
        <v>55</v>
      </c>
      <c r="D162">
        <v>344</v>
      </c>
      <c r="E162">
        <v>354</v>
      </c>
      <c r="F162">
        <v>191</v>
      </c>
      <c r="G162">
        <v>0</v>
      </c>
      <c r="H162">
        <v>0</v>
      </c>
      <c r="I162">
        <v>61750</v>
      </c>
      <c r="J162">
        <v>0.97</v>
      </c>
      <c r="K162">
        <v>67</v>
      </c>
      <c r="L162">
        <v>55</v>
      </c>
      <c r="M162">
        <v>59</v>
      </c>
      <c r="N162">
        <v>47</v>
      </c>
      <c r="O162">
        <v>118</v>
      </c>
      <c r="P162">
        <v>47</v>
      </c>
      <c r="Q162">
        <v>13</v>
      </c>
      <c r="R162">
        <v>0.14606739999999999</v>
      </c>
      <c r="S162">
        <v>1.2553190000000001</v>
      </c>
      <c r="T162">
        <v>0.43703710000000001</v>
      </c>
      <c r="U162">
        <v>0.13925029999999999</v>
      </c>
      <c r="V162">
        <v>0.33957880000000001</v>
      </c>
      <c r="W162">
        <v>0.66042129999999999</v>
      </c>
      <c r="X162">
        <v>2.7289999999999998E-2</v>
      </c>
      <c r="Y162" s="2">
        <f t="shared" si="4"/>
        <v>27.29</v>
      </c>
      <c r="Z162">
        <v>8076370</v>
      </c>
      <c r="AA162">
        <v>6105694</v>
      </c>
      <c r="AB162">
        <v>12500</v>
      </c>
      <c r="AC162">
        <v>1.32</v>
      </c>
      <c r="AD162">
        <v>0</v>
      </c>
      <c r="AE162">
        <v>0</v>
      </c>
      <c r="AF162">
        <v>0</v>
      </c>
      <c r="AG162">
        <v>0</v>
      </c>
      <c r="AH162">
        <v>8215.77</v>
      </c>
      <c r="AI162">
        <v>0</v>
      </c>
      <c r="AJ162">
        <v>8216</v>
      </c>
      <c r="AK162">
        <v>1</v>
      </c>
      <c r="AL162">
        <v>8</v>
      </c>
      <c r="AM162">
        <v>0</v>
      </c>
      <c r="AN162">
        <v>0</v>
      </c>
      <c r="AO162">
        <v>0</v>
      </c>
      <c r="AP162">
        <v>59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8216</v>
      </c>
      <c r="AY162">
        <v>0</v>
      </c>
      <c r="AZ162">
        <v>0</v>
      </c>
      <c r="BA162">
        <v>0</v>
      </c>
      <c r="BB162">
        <v>0</v>
      </c>
      <c r="BC162">
        <v>2748</v>
      </c>
      <c r="BD162">
        <v>5</v>
      </c>
      <c r="BE162">
        <v>2853</v>
      </c>
      <c r="BF162">
        <v>13</v>
      </c>
      <c r="BG162">
        <v>5060</v>
      </c>
      <c r="BH162">
        <v>191</v>
      </c>
      <c r="BI162">
        <v>26.492149999999999</v>
      </c>
      <c r="BJ162">
        <v>26.04393</v>
      </c>
      <c r="BK162">
        <v>26.04393</v>
      </c>
      <c r="BL162">
        <v>26.04393</v>
      </c>
      <c r="BM162">
        <v>518130.7</v>
      </c>
      <c r="BN162">
        <v>4973311</v>
      </c>
      <c r="BO162">
        <v>21.560960000000001</v>
      </c>
      <c r="BP162">
        <v>0.97306219999999999</v>
      </c>
      <c r="BQ162">
        <v>2.8619499999999999E-2</v>
      </c>
      <c r="BR162">
        <v>22.15784</v>
      </c>
      <c r="BS162">
        <v>278776.5</v>
      </c>
      <c r="BT162">
        <v>154785.79999999999</v>
      </c>
      <c r="BU162">
        <v>0</v>
      </c>
      <c r="CH162">
        <v>1</v>
      </c>
      <c r="CI162">
        <v>402</v>
      </c>
      <c r="CJ162">
        <v>478480</v>
      </c>
      <c r="CK162">
        <v>4980091</v>
      </c>
      <c r="CL162">
        <v>816</v>
      </c>
      <c r="CM162">
        <v>492625</v>
      </c>
      <c r="CN162">
        <v>4977029</v>
      </c>
      <c r="CO162">
        <v>40226.21</v>
      </c>
      <c r="CP162">
        <v>25775.279999999999</v>
      </c>
      <c r="CQ162">
        <v>40.226210000000002</v>
      </c>
      <c r="CR162">
        <v>25.775279999999999</v>
      </c>
      <c r="CS162">
        <f t="shared" si="5"/>
        <v>95.148936170212764</v>
      </c>
    </row>
    <row r="163" spans="1:97">
      <c r="A163" t="s">
        <v>56</v>
      </c>
      <c r="B163" t="s">
        <v>165</v>
      </c>
      <c r="C163" t="s">
        <v>57</v>
      </c>
      <c r="D163">
        <v>287151</v>
      </c>
      <c r="E163">
        <v>1980</v>
      </c>
      <c r="F163">
        <v>930.66200000000003</v>
      </c>
      <c r="G163">
        <v>197909</v>
      </c>
      <c r="H163">
        <v>1364.883</v>
      </c>
      <c r="I163">
        <v>38774</v>
      </c>
      <c r="J163">
        <v>0.75</v>
      </c>
      <c r="K163">
        <v>11410</v>
      </c>
      <c r="L163">
        <v>7217</v>
      </c>
      <c r="M163">
        <v>10496</v>
      </c>
      <c r="N163">
        <v>6303</v>
      </c>
      <c r="O163">
        <v>20992</v>
      </c>
      <c r="P163">
        <v>6303</v>
      </c>
      <c r="Q163">
        <v>4194</v>
      </c>
      <c r="R163">
        <v>0.33283069999999998</v>
      </c>
      <c r="S163">
        <v>1.6652389999999999</v>
      </c>
      <c r="T163">
        <v>0.55525579999999997</v>
      </c>
      <c r="U163">
        <v>0.1446479</v>
      </c>
      <c r="V163">
        <v>5.6689799999999999E-2</v>
      </c>
      <c r="W163">
        <v>0.94331019999999999</v>
      </c>
      <c r="X163">
        <v>2.6400000000000002E-4</v>
      </c>
      <c r="Y163" s="2">
        <f t="shared" si="4"/>
        <v>0.26400000000000001</v>
      </c>
      <c r="Z163">
        <v>90988860</v>
      </c>
      <c r="AA163">
        <v>77269008</v>
      </c>
      <c r="AB163">
        <v>12500</v>
      </c>
      <c r="AC163">
        <v>1.18</v>
      </c>
      <c r="AD163">
        <v>0.42</v>
      </c>
      <c r="AE163">
        <v>0.49</v>
      </c>
      <c r="AF163">
        <v>2.15</v>
      </c>
      <c r="AG163">
        <v>63591.24</v>
      </c>
      <c r="AH163">
        <v>1454633</v>
      </c>
      <c r="AI163">
        <v>32605</v>
      </c>
      <c r="AJ163">
        <v>1518224</v>
      </c>
      <c r="AK163">
        <v>145</v>
      </c>
      <c r="AL163">
        <v>10</v>
      </c>
      <c r="AM163">
        <v>158</v>
      </c>
      <c r="AN163">
        <v>167</v>
      </c>
      <c r="AO163">
        <v>33</v>
      </c>
      <c r="AP163">
        <v>9900</v>
      </c>
      <c r="AQ163">
        <v>0</v>
      </c>
      <c r="AR163">
        <v>222</v>
      </c>
      <c r="AS163">
        <v>16</v>
      </c>
      <c r="AT163">
        <v>0</v>
      </c>
      <c r="AU163">
        <v>32605</v>
      </c>
      <c r="AV163">
        <v>27117</v>
      </c>
      <c r="AW163">
        <v>3869</v>
      </c>
      <c r="AX163">
        <v>1414733</v>
      </c>
      <c r="AY163">
        <v>0</v>
      </c>
      <c r="AZ163">
        <v>35607</v>
      </c>
      <c r="BA163">
        <v>4292</v>
      </c>
      <c r="BB163">
        <v>0</v>
      </c>
      <c r="BC163">
        <v>5474359</v>
      </c>
      <c r="BD163">
        <v>895</v>
      </c>
      <c r="BE163">
        <v>5447784</v>
      </c>
      <c r="BF163">
        <v>31</v>
      </c>
      <c r="BG163">
        <v>2841820</v>
      </c>
      <c r="BH163">
        <v>134946</v>
      </c>
      <c r="BI163">
        <v>21.05894</v>
      </c>
      <c r="BJ163">
        <v>26.77825</v>
      </c>
      <c r="BK163">
        <v>26.77825</v>
      </c>
      <c r="BL163">
        <v>26.77825</v>
      </c>
      <c r="BM163">
        <v>491788.7</v>
      </c>
      <c r="BN163">
        <v>4977163</v>
      </c>
      <c r="BO163">
        <v>3261.4969999999998</v>
      </c>
      <c r="BP163">
        <v>145.00069999999999</v>
      </c>
      <c r="BQ163">
        <v>3.2294200000000002E-2</v>
      </c>
      <c r="BR163">
        <v>22.49297</v>
      </c>
      <c r="BS163">
        <v>2083179</v>
      </c>
      <c r="BT163">
        <v>978985.4</v>
      </c>
      <c r="BU163">
        <v>1435760</v>
      </c>
      <c r="BV163" s="1">
        <v>341100000000</v>
      </c>
      <c r="BW163" s="1">
        <v>669200000000</v>
      </c>
      <c r="BX163" s="1">
        <v>93880000000</v>
      </c>
      <c r="BY163" s="1">
        <v>180000000000</v>
      </c>
      <c r="BZ163" s="1">
        <v>189200000000</v>
      </c>
      <c r="CA163" s="1">
        <v>306000000000</v>
      </c>
      <c r="CB163">
        <v>1182376</v>
      </c>
      <c r="CC163">
        <v>2319575</v>
      </c>
      <c r="CD163">
        <v>670879</v>
      </c>
      <c r="CE163">
        <v>1285960</v>
      </c>
      <c r="CF163">
        <v>1001970</v>
      </c>
      <c r="CG163">
        <v>1621462</v>
      </c>
      <c r="CH163">
        <v>3</v>
      </c>
      <c r="CI163">
        <v>402</v>
      </c>
      <c r="CJ163">
        <v>478480</v>
      </c>
      <c r="CK163">
        <v>4980091</v>
      </c>
      <c r="CL163">
        <v>816</v>
      </c>
      <c r="CM163">
        <v>492625</v>
      </c>
      <c r="CN163">
        <v>4977029</v>
      </c>
      <c r="CO163">
        <v>13627.11</v>
      </c>
      <c r="CP163">
        <v>846.86990000000003</v>
      </c>
      <c r="CQ163">
        <v>13.62711</v>
      </c>
      <c r="CR163">
        <v>0.84686989999999995</v>
      </c>
      <c r="CS163">
        <f t="shared" si="5"/>
        <v>1412.2927177534507</v>
      </c>
    </row>
    <row r="164" spans="1:97">
      <c r="A164" t="s">
        <v>58</v>
      </c>
      <c r="B164" t="s">
        <v>158</v>
      </c>
      <c r="C164" t="s">
        <v>59</v>
      </c>
      <c r="D164">
        <v>5070</v>
      </c>
      <c r="E164">
        <v>791</v>
      </c>
      <c r="F164">
        <v>419.16669999999999</v>
      </c>
      <c r="G164">
        <v>1402</v>
      </c>
      <c r="H164">
        <v>218.66159999999999</v>
      </c>
      <c r="I164">
        <v>50805</v>
      </c>
      <c r="J164">
        <v>0.86</v>
      </c>
      <c r="K164">
        <v>373</v>
      </c>
      <c r="L164">
        <v>253</v>
      </c>
      <c r="M164">
        <v>335</v>
      </c>
      <c r="N164">
        <v>215</v>
      </c>
      <c r="O164">
        <v>670</v>
      </c>
      <c r="P164">
        <v>215</v>
      </c>
      <c r="Q164">
        <v>121</v>
      </c>
      <c r="R164">
        <v>0.28470590000000001</v>
      </c>
      <c r="S164">
        <v>1.5581400000000001</v>
      </c>
      <c r="T164">
        <v>0.52425659999999996</v>
      </c>
      <c r="U164">
        <v>0.17223379999999999</v>
      </c>
      <c r="V164">
        <v>0.1147117</v>
      </c>
      <c r="W164">
        <v>0.88528830000000003</v>
      </c>
      <c r="X164">
        <v>7.2810000000000001E-3</v>
      </c>
      <c r="Y164" s="2">
        <f t="shared" si="4"/>
        <v>7.2810000000000006</v>
      </c>
      <c r="Z164">
        <v>20828093</v>
      </c>
      <c r="AA164">
        <v>16030366</v>
      </c>
      <c r="AB164">
        <v>12400</v>
      </c>
      <c r="AC164">
        <v>1.3</v>
      </c>
      <c r="AD164">
        <v>0.09</v>
      </c>
      <c r="AE164">
        <v>0.16</v>
      </c>
      <c r="AF164">
        <v>2.36</v>
      </c>
      <c r="AG164">
        <v>1361.62</v>
      </c>
      <c r="AH164">
        <v>56336.71</v>
      </c>
      <c r="AI164">
        <v>1362</v>
      </c>
      <c r="AJ164">
        <v>57698</v>
      </c>
      <c r="AK164">
        <v>6</v>
      </c>
      <c r="AL164">
        <v>9</v>
      </c>
      <c r="AM164">
        <v>4</v>
      </c>
      <c r="AN164">
        <v>0</v>
      </c>
      <c r="AO164">
        <v>0</v>
      </c>
      <c r="AP164">
        <v>331</v>
      </c>
      <c r="AQ164">
        <v>0</v>
      </c>
      <c r="AR164">
        <v>0</v>
      </c>
      <c r="AS164">
        <v>0</v>
      </c>
      <c r="AT164">
        <v>0</v>
      </c>
      <c r="AU164">
        <v>1362</v>
      </c>
      <c r="AV164">
        <v>0</v>
      </c>
      <c r="AW164">
        <v>0</v>
      </c>
      <c r="AX164">
        <v>56337</v>
      </c>
      <c r="AY164">
        <v>0</v>
      </c>
      <c r="AZ164">
        <v>0</v>
      </c>
      <c r="BA164">
        <v>0</v>
      </c>
      <c r="BB164">
        <v>0</v>
      </c>
      <c r="BC164">
        <v>57744</v>
      </c>
      <c r="BD164">
        <v>31</v>
      </c>
      <c r="BE164">
        <v>47116</v>
      </c>
      <c r="BF164">
        <v>15</v>
      </c>
      <c r="BG164">
        <v>64820</v>
      </c>
      <c r="BH164">
        <v>2515</v>
      </c>
      <c r="BI164">
        <v>25.77336</v>
      </c>
      <c r="BJ164">
        <v>26.601980000000001</v>
      </c>
      <c r="BK164">
        <v>26.601980000000001</v>
      </c>
      <c r="BL164">
        <v>26.601980000000001</v>
      </c>
      <c r="BM164">
        <v>500470.3</v>
      </c>
      <c r="BN164">
        <v>4965294</v>
      </c>
      <c r="BO164">
        <v>147.91589999999999</v>
      </c>
      <c r="BP164">
        <v>6.4117329999999999</v>
      </c>
      <c r="BQ164">
        <v>3.7939300000000002E-2</v>
      </c>
      <c r="BR164">
        <v>23.069569999999999</v>
      </c>
      <c r="BS164">
        <v>674273.5</v>
      </c>
      <c r="BT164">
        <v>334476.90000000002</v>
      </c>
      <c r="BU164">
        <v>186455.9</v>
      </c>
      <c r="BV164" s="1">
        <v>1650000000</v>
      </c>
      <c r="BW164" s="1">
        <v>4862000000</v>
      </c>
      <c r="BX164" s="1">
        <v>534200000</v>
      </c>
      <c r="BY164" s="1">
        <v>1506000000</v>
      </c>
      <c r="BZ164" s="1">
        <v>460500000</v>
      </c>
      <c r="CA164" s="1">
        <v>1450000000</v>
      </c>
      <c r="CB164">
        <v>540662</v>
      </c>
      <c r="CC164">
        <v>1593561</v>
      </c>
      <c r="CD164">
        <v>340705</v>
      </c>
      <c r="CE164">
        <v>960315</v>
      </c>
      <c r="CF164">
        <v>361479</v>
      </c>
      <c r="CG164">
        <v>1138020</v>
      </c>
      <c r="CH164">
        <v>3</v>
      </c>
      <c r="CI164">
        <v>402</v>
      </c>
      <c r="CJ164">
        <v>478480</v>
      </c>
      <c r="CK164">
        <v>4980091</v>
      </c>
      <c r="CL164">
        <v>816</v>
      </c>
      <c r="CM164">
        <v>492625</v>
      </c>
      <c r="CN164">
        <v>4977029</v>
      </c>
      <c r="CO164">
        <v>26505.19</v>
      </c>
      <c r="CP164">
        <v>14115.92</v>
      </c>
      <c r="CQ164">
        <v>26.505189999999999</v>
      </c>
      <c r="CR164">
        <v>14.115919999999999</v>
      </c>
      <c r="CS164">
        <f t="shared" si="5"/>
        <v>353.72093023255815</v>
      </c>
    </row>
    <row r="165" spans="1:97">
      <c r="A165" t="s">
        <v>166</v>
      </c>
      <c r="B165" t="s">
        <v>158</v>
      </c>
      <c r="C165" t="s">
        <v>166</v>
      </c>
      <c r="D165">
        <v>2553</v>
      </c>
      <c r="E165">
        <v>57</v>
      </c>
      <c r="F165">
        <v>27.66667</v>
      </c>
      <c r="G165">
        <v>0</v>
      </c>
      <c r="H165">
        <v>0</v>
      </c>
      <c r="I165">
        <v>96281</v>
      </c>
      <c r="J165">
        <v>0.89</v>
      </c>
      <c r="K165">
        <v>258</v>
      </c>
      <c r="L165">
        <v>248</v>
      </c>
      <c r="M165">
        <v>200</v>
      </c>
      <c r="N165">
        <v>190</v>
      </c>
      <c r="O165">
        <v>400</v>
      </c>
      <c r="P165">
        <v>190</v>
      </c>
      <c r="Q165">
        <v>11</v>
      </c>
      <c r="R165">
        <v>2.93333E-2</v>
      </c>
      <c r="S165">
        <v>1.052632</v>
      </c>
      <c r="T165">
        <v>0.35460989999999998</v>
      </c>
      <c r="U165">
        <v>0.48858479999999999</v>
      </c>
      <c r="V165">
        <v>0.58732879999999998</v>
      </c>
      <c r="W165">
        <v>0.41267120000000002</v>
      </c>
      <c r="X165">
        <v>5.5690000000000002E-3</v>
      </c>
      <c r="Y165" s="2">
        <f t="shared" si="4"/>
        <v>5.569</v>
      </c>
      <c r="Z165">
        <v>85017024</v>
      </c>
      <c r="AA165">
        <v>46311065</v>
      </c>
      <c r="AB165">
        <v>11518</v>
      </c>
      <c r="AC165">
        <v>1.84</v>
      </c>
      <c r="AD165">
        <v>0.4</v>
      </c>
      <c r="AE165">
        <v>0.51</v>
      </c>
      <c r="AF165">
        <v>0</v>
      </c>
      <c r="AG165">
        <v>10925.59</v>
      </c>
      <c r="AH165">
        <v>86791.38</v>
      </c>
      <c r="AI165">
        <v>0</v>
      </c>
      <c r="AJ165">
        <v>97717</v>
      </c>
      <c r="AK165">
        <v>45</v>
      </c>
      <c r="AL165">
        <v>2</v>
      </c>
      <c r="AM165">
        <v>0</v>
      </c>
      <c r="AN165">
        <v>0</v>
      </c>
      <c r="AO165">
        <v>16</v>
      </c>
      <c r="AP165">
        <v>184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10926</v>
      </c>
      <c r="AX165">
        <v>86791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58276</v>
      </c>
      <c r="BF165">
        <v>37</v>
      </c>
      <c r="BG165">
        <v>33010</v>
      </c>
      <c r="BH165">
        <v>1245</v>
      </c>
      <c r="BI165">
        <v>26.514060000000001</v>
      </c>
      <c r="BJ165">
        <v>28.098549999999999</v>
      </c>
      <c r="BK165">
        <v>28.098549999999999</v>
      </c>
      <c r="BL165">
        <v>28.098549999999999</v>
      </c>
      <c r="BM165">
        <v>514638.7</v>
      </c>
      <c r="BN165">
        <v>4994045</v>
      </c>
      <c r="BO165">
        <v>201.2697</v>
      </c>
      <c r="BP165">
        <v>44.981349999999999</v>
      </c>
      <c r="BQ165">
        <v>0.62474110000000005</v>
      </c>
      <c r="BR165">
        <v>4.474513</v>
      </c>
      <c r="BS165">
        <v>27047.77</v>
      </c>
      <c r="BT165">
        <v>13190.16</v>
      </c>
      <c r="BU165">
        <v>0</v>
      </c>
      <c r="BV165" s="1">
        <v>239900000</v>
      </c>
      <c r="BW165" s="1">
        <v>956800000</v>
      </c>
      <c r="BX165">
        <v>71025654</v>
      </c>
      <c r="BY165" s="1">
        <v>293000000</v>
      </c>
      <c r="BZ165">
        <v>5502791</v>
      </c>
      <c r="CA165" s="1">
        <v>27500000</v>
      </c>
      <c r="CB165">
        <v>121101</v>
      </c>
      <c r="CC165">
        <v>482984</v>
      </c>
      <c r="CD165">
        <v>66763</v>
      </c>
      <c r="CE165">
        <v>275377</v>
      </c>
      <c r="CF165">
        <v>49575</v>
      </c>
      <c r="CG165">
        <v>247517</v>
      </c>
      <c r="CH165">
        <v>3</v>
      </c>
      <c r="CI165">
        <v>402</v>
      </c>
      <c r="CJ165">
        <v>478480</v>
      </c>
      <c r="CK165">
        <v>4980091</v>
      </c>
      <c r="CL165">
        <v>816</v>
      </c>
      <c r="CM165">
        <v>492625</v>
      </c>
      <c r="CN165">
        <v>4977029</v>
      </c>
      <c r="CO165">
        <v>38757.589999999997</v>
      </c>
      <c r="CP165">
        <v>27823.19</v>
      </c>
      <c r="CQ165">
        <v>38.75759</v>
      </c>
      <c r="CR165">
        <v>27.823180000000001</v>
      </c>
      <c r="CS165">
        <f t="shared" si="5"/>
        <v>497.16315789473686</v>
      </c>
    </row>
    <row r="166" spans="1:97">
      <c r="A166" t="s">
        <v>167</v>
      </c>
      <c r="B166" t="s">
        <v>163</v>
      </c>
      <c r="C166" t="s">
        <v>167</v>
      </c>
      <c r="D166">
        <v>504</v>
      </c>
      <c r="E166">
        <v>115</v>
      </c>
      <c r="F166">
        <v>47.75</v>
      </c>
      <c r="G166">
        <v>22</v>
      </c>
      <c r="H166">
        <v>5.0198460000000003</v>
      </c>
      <c r="I166">
        <v>148410</v>
      </c>
      <c r="J166">
        <v>0.91</v>
      </c>
      <c r="K166">
        <v>75</v>
      </c>
      <c r="L166">
        <v>70</v>
      </c>
      <c r="M166">
        <v>50</v>
      </c>
      <c r="N166">
        <v>45</v>
      </c>
      <c r="O166">
        <v>100</v>
      </c>
      <c r="P166">
        <v>45</v>
      </c>
      <c r="Q166">
        <v>6</v>
      </c>
      <c r="R166">
        <v>7.0588200000000004E-2</v>
      </c>
      <c r="S166">
        <v>1.111111</v>
      </c>
      <c r="T166">
        <v>0.38759690000000002</v>
      </c>
      <c r="U166">
        <v>0.38645099999999999</v>
      </c>
      <c r="V166">
        <v>0.34453099999999998</v>
      </c>
      <c r="W166">
        <v>0.65546890000000002</v>
      </c>
      <c r="X166">
        <v>2.5253000000000001E-2</v>
      </c>
      <c r="Y166" s="2">
        <f t="shared" si="4"/>
        <v>25.253</v>
      </c>
      <c r="Z166">
        <v>27402811</v>
      </c>
      <c r="AA166">
        <v>15192404</v>
      </c>
      <c r="AB166">
        <v>12500</v>
      </c>
      <c r="AC166">
        <v>1.8</v>
      </c>
      <c r="AD166">
        <v>1.17</v>
      </c>
      <c r="AE166">
        <v>1.1599999999999999</v>
      </c>
      <c r="AF166">
        <v>11.77</v>
      </c>
      <c r="AG166">
        <v>3641.05</v>
      </c>
      <c r="AH166">
        <v>15681.5</v>
      </c>
      <c r="AI166">
        <v>2275</v>
      </c>
      <c r="AJ166">
        <v>19323</v>
      </c>
      <c r="AK166">
        <v>4</v>
      </c>
      <c r="AL166">
        <v>4</v>
      </c>
      <c r="AM166">
        <v>2</v>
      </c>
      <c r="AN166">
        <v>0</v>
      </c>
      <c r="AO166">
        <v>5</v>
      </c>
      <c r="AP166">
        <v>39</v>
      </c>
      <c r="AQ166">
        <v>0</v>
      </c>
      <c r="AR166">
        <v>2</v>
      </c>
      <c r="AS166">
        <v>2</v>
      </c>
      <c r="AT166">
        <v>0</v>
      </c>
      <c r="AU166">
        <v>2275</v>
      </c>
      <c r="AV166">
        <v>0</v>
      </c>
      <c r="AW166">
        <v>1366</v>
      </c>
      <c r="AX166">
        <v>14828</v>
      </c>
      <c r="AY166">
        <v>0</v>
      </c>
      <c r="AZ166">
        <v>655</v>
      </c>
      <c r="BA166">
        <v>199</v>
      </c>
      <c r="BB166">
        <v>0</v>
      </c>
      <c r="BC166">
        <v>142170</v>
      </c>
      <c r="BD166">
        <v>9</v>
      </c>
      <c r="BE166">
        <v>138789</v>
      </c>
      <c r="BF166">
        <v>443</v>
      </c>
      <c r="BG166">
        <v>3575</v>
      </c>
      <c r="BH166">
        <v>191</v>
      </c>
      <c r="BI166">
        <v>18.717279999999999</v>
      </c>
      <c r="BJ166">
        <v>30.59703</v>
      </c>
      <c r="BK166">
        <v>30.59703</v>
      </c>
      <c r="BL166">
        <v>30.59703</v>
      </c>
      <c r="BM166">
        <v>492554.9</v>
      </c>
      <c r="BN166">
        <v>4968768</v>
      </c>
      <c r="BO166">
        <v>35.234020000000001</v>
      </c>
      <c r="BP166">
        <v>4.3826039999999997</v>
      </c>
      <c r="BQ166">
        <v>0.17530419999999999</v>
      </c>
      <c r="BR166">
        <v>8.0395149999999997</v>
      </c>
      <c r="BS166">
        <v>67314.27</v>
      </c>
      <c r="BT166">
        <v>25509.97</v>
      </c>
      <c r="BU166">
        <v>2938.3209999999999</v>
      </c>
      <c r="BV166" s="1">
        <v>512500000</v>
      </c>
      <c r="BW166" s="1">
        <v>969200000</v>
      </c>
      <c r="BX166" s="1">
        <v>112800000</v>
      </c>
      <c r="BY166" s="1">
        <v>206300000</v>
      </c>
      <c r="BZ166">
        <v>16053080</v>
      </c>
      <c r="CA166" s="1">
        <v>33700000</v>
      </c>
      <c r="CB166">
        <v>1128958</v>
      </c>
      <c r="CC166">
        <v>2134771</v>
      </c>
      <c r="CD166">
        <v>634688</v>
      </c>
      <c r="CE166">
        <v>1161342</v>
      </c>
      <c r="CF166">
        <v>697960</v>
      </c>
      <c r="CG166">
        <v>1463051</v>
      </c>
      <c r="CH166">
        <v>3</v>
      </c>
      <c r="CI166">
        <v>402</v>
      </c>
      <c r="CJ166">
        <v>478480</v>
      </c>
      <c r="CK166">
        <v>4980091</v>
      </c>
      <c r="CL166">
        <v>816</v>
      </c>
      <c r="CM166">
        <v>492625</v>
      </c>
      <c r="CN166">
        <v>4977029</v>
      </c>
      <c r="CO166">
        <v>18064.14</v>
      </c>
      <c r="CP166">
        <v>8261.2980000000007</v>
      </c>
      <c r="CQ166">
        <v>18.064139999999998</v>
      </c>
      <c r="CR166">
        <v>8.261298</v>
      </c>
      <c r="CS166">
        <f t="shared" si="5"/>
        <v>4961.6000000000004</v>
      </c>
    </row>
    <row r="167" spans="1:97">
      <c r="A167" t="s">
        <v>168</v>
      </c>
      <c r="B167" t="s">
        <v>182</v>
      </c>
      <c r="C167" t="s">
        <v>168</v>
      </c>
      <c r="D167">
        <v>1547</v>
      </c>
      <c r="E167">
        <v>284</v>
      </c>
      <c r="F167">
        <v>158.19999999999999</v>
      </c>
      <c r="G167">
        <v>270</v>
      </c>
      <c r="H167">
        <v>49.558639999999997</v>
      </c>
      <c r="I167">
        <v>84879</v>
      </c>
      <c r="J167">
        <v>0.9</v>
      </c>
      <c r="K167">
        <v>148</v>
      </c>
      <c r="L167">
        <v>129</v>
      </c>
      <c r="M167">
        <v>130</v>
      </c>
      <c r="N167">
        <v>111</v>
      </c>
      <c r="O167">
        <v>260</v>
      </c>
      <c r="P167">
        <v>111</v>
      </c>
      <c r="Q167">
        <v>20</v>
      </c>
      <c r="R167">
        <v>9.2165899999999995E-2</v>
      </c>
      <c r="S167">
        <v>1.171171</v>
      </c>
      <c r="T167">
        <v>0.3975535</v>
      </c>
      <c r="U167">
        <v>0.1538612</v>
      </c>
      <c r="V167">
        <v>0.43264629999999998</v>
      </c>
      <c r="W167">
        <v>0.56735369999999996</v>
      </c>
      <c r="X167">
        <v>1.0647E-2</v>
      </c>
      <c r="Y167" s="2">
        <f t="shared" si="4"/>
        <v>10.647</v>
      </c>
      <c r="Z167">
        <v>18493600</v>
      </c>
      <c r="AA167">
        <v>11844801</v>
      </c>
      <c r="AB167">
        <v>12058</v>
      </c>
      <c r="AC167">
        <v>1.56</v>
      </c>
      <c r="AD167">
        <v>0</v>
      </c>
      <c r="AE167">
        <v>0</v>
      </c>
      <c r="AF167">
        <v>0</v>
      </c>
      <c r="AG167">
        <v>0</v>
      </c>
      <c r="AH167">
        <v>20001.96</v>
      </c>
      <c r="AI167">
        <v>0</v>
      </c>
      <c r="AJ167">
        <v>20002</v>
      </c>
      <c r="AK167">
        <v>5</v>
      </c>
      <c r="AL167">
        <v>4</v>
      </c>
      <c r="AM167">
        <v>0</v>
      </c>
      <c r="AN167">
        <v>0</v>
      </c>
      <c r="AO167">
        <v>0</v>
      </c>
      <c r="AP167">
        <v>130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20002</v>
      </c>
      <c r="AY167">
        <v>0</v>
      </c>
      <c r="AZ167">
        <v>0</v>
      </c>
      <c r="BA167">
        <v>0</v>
      </c>
      <c r="BB167">
        <v>0</v>
      </c>
      <c r="BC167">
        <v>32570</v>
      </c>
      <c r="BD167">
        <v>11</v>
      </c>
      <c r="BE167">
        <v>32672</v>
      </c>
      <c r="BF167">
        <v>34</v>
      </c>
      <c r="BG167">
        <v>20630</v>
      </c>
      <c r="BH167">
        <v>791</v>
      </c>
      <c r="BI167">
        <v>26.080909999999999</v>
      </c>
      <c r="BJ167">
        <v>25.761220000000002</v>
      </c>
      <c r="BK167">
        <v>25.761220000000002</v>
      </c>
      <c r="BL167">
        <v>25.761220000000002</v>
      </c>
      <c r="BM167">
        <v>453548.6</v>
      </c>
      <c r="BN167">
        <v>4973869</v>
      </c>
      <c r="BO167">
        <v>70.143829999999994</v>
      </c>
      <c r="BP167">
        <v>5.4480909999999998</v>
      </c>
      <c r="BQ167">
        <v>0.1135019</v>
      </c>
      <c r="BR167">
        <v>12.87494</v>
      </c>
      <c r="BS167">
        <v>157245.79999999999</v>
      </c>
      <c r="BT167">
        <v>80401.7</v>
      </c>
      <c r="BU167">
        <v>27444.32</v>
      </c>
      <c r="BV167" s="1">
        <v>406600000</v>
      </c>
      <c r="BW167" s="1">
        <v>1582000000</v>
      </c>
      <c r="BX167" s="1">
        <v>137100000</v>
      </c>
      <c r="BY167" s="1">
        <v>543800000</v>
      </c>
      <c r="BZ167">
        <v>54398586</v>
      </c>
      <c r="CA167" s="1">
        <v>258000000</v>
      </c>
      <c r="CB167">
        <v>253648</v>
      </c>
      <c r="CC167">
        <v>987053</v>
      </c>
      <c r="CD167">
        <v>157175</v>
      </c>
      <c r="CE167">
        <v>623625</v>
      </c>
      <c r="CF167">
        <v>169466</v>
      </c>
      <c r="CG167">
        <v>804560</v>
      </c>
      <c r="CH167">
        <v>3</v>
      </c>
      <c r="CI167">
        <v>402</v>
      </c>
      <c r="CJ167">
        <v>478480</v>
      </c>
      <c r="CK167">
        <v>4980091</v>
      </c>
      <c r="CL167">
        <v>816</v>
      </c>
      <c r="CM167">
        <v>492625</v>
      </c>
      <c r="CN167">
        <v>4977029</v>
      </c>
      <c r="CO167">
        <v>25696.11</v>
      </c>
      <c r="CP167">
        <v>39204</v>
      </c>
      <c r="CQ167">
        <v>25.696110000000001</v>
      </c>
      <c r="CR167">
        <v>39.204000000000001</v>
      </c>
      <c r="CS167">
        <f t="shared" si="5"/>
        <v>473.85585585585585</v>
      </c>
    </row>
    <row r="168" spans="1:97">
      <c r="A168" t="s">
        <v>169</v>
      </c>
      <c r="B168" t="s">
        <v>165</v>
      </c>
      <c r="C168" t="s">
        <v>169</v>
      </c>
      <c r="D168">
        <v>13069</v>
      </c>
      <c r="E168">
        <v>614</v>
      </c>
      <c r="F168">
        <v>344.61900000000003</v>
      </c>
      <c r="G168">
        <v>7196</v>
      </c>
      <c r="H168">
        <v>338.02159999999998</v>
      </c>
      <c r="I168">
        <v>60804</v>
      </c>
      <c r="J168">
        <v>0.89</v>
      </c>
      <c r="K168">
        <v>662</v>
      </c>
      <c r="L168">
        <v>551</v>
      </c>
      <c r="M168">
        <v>523</v>
      </c>
      <c r="N168">
        <v>412</v>
      </c>
      <c r="O168">
        <v>1046</v>
      </c>
      <c r="P168">
        <v>412</v>
      </c>
      <c r="Q168">
        <v>112</v>
      </c>
      <c r="R168">
        <v>0.13675209999999999</v>
      </c>
      <c r="S168">
        <v>1.2694179999999999</v>
      </c>
      <c r="T168">
        <v>0.42520330000000001</v>
      </c>
      <c r="U168">
        <v>0.23995949999999999</v>
      </c>
      <c r="V168">
        <v>0.1985586</v>
      </c>
      <c r="W168">
        <v>0.80144139999999997</v>
      </c>
      <c r="X168">
        <v>3.0890000000000002E-3</v>
      </c>
      <c r="Y168" s="2">
        <f t="shared" si="4"/>
        <v>3.089</v>
      </c>
      <c r="Z168">
        <v>48407116</v>
      </c>
      <c r="AA168">
        <v>31108972</v>
      </c>
      <c r="AB168">
        <v>12300</v>
      </c>
      <c r="AC168">
        <v>1.56</v>
      </c>
      <c r="AD168">
        <v>0.59</v>
      </c>
      <c r="AE168">
        <v>0.93</v>
      </c>
      <c r="AF168">
        <v>10.130000000000001</v>
      </c>
      <c r="AG168">
        <v>14057.67</v>
      </c>
      <c r="AH168">
        <v>111441.1</v>
      </c>
      <c r="AI168">
        <v>12714</v>
      </c>
      <c r="AJ168">
        <v>125499</v>
      </c>
      <c r="AK168">
        <v>21</v>
      </c>
      <c r="AL168">
        <v>6</v>
      </c>
      <c r="AM168">
        <v>27</v>
      </c>
      <c r="AN168">
        <v>5</v>
      </c>
      <c r="AO168">
        <v>0</v>
      </c>
      <c r="AP168">
        <v>474</v>
      </c>
      <c r="AQ168">
        <v>0</v>
      </c>
      <c r="AR168">
        <v>15</v>
      </c>
      <c r="AS168">
        <v>2</v>
      </c>
      <c r="AT168">
        <v>0</v>
      </c>
      <c r="AU168">
        <v>12714</v>
      </c>
      <c r="AV168">
        <v>1344</v>
      </c>
      <c r="AW168">
        <v>0</v>
      </c>
      <c r="AX168">
        <v>103904</v>
      </c>
      <c r="AY168">
        <v>0</v>
      </c>
      <c r="AZ168">
        <v>3559</v>
      </c>
      <c r="BA168">
        <v>3978</v>
      </c>
      <c r="BB168">
        <v>0</v>
      </c>
      <c r="BC168">
        <v>677167</v>
      </c>
      <c r="BD168">
        <v>65</v>
      </c>
      <c r="BE168">
        <v>680170</v>
      </c>
      <c r="BF168">
        <v>84</v>
      </c>
      <c r="BG168">
        <v>163655</v>
      </c>
      <c r="BH168">
        <v>7237</v>
      </c>
      <c r="BI168">
        <v>22.61365</v>
      </c>
      <c r="BJ168">
        <v>28.166319999999999</v>
      </c>
      <c r="BK168">
        <v>28.166319999999999</v>
      </c>
      <c r="BL168">
        <v>28.166319999999999</v>
      </c>
      <c r="BM168">
        <v>494110.2</v>
      </c>
      <c r="BN168">
        <v>4989287</v>
      </c>
      <c r="BO168">
        <v>278.9674</v>
      </c>
      <c r="BP168">
        <v>21.28858</v>
      </c>
      <c r="BQ168">
        <v>0.1018592</v>
      </c>
      <c r="BR168">
        <v>13.10408</v>
      </c>
      <c r="BS168">
        <v>409163</v>
      </c>
      <c r="BT168">
        <v>226575.3</v>
      </c>
      <c r="BU168">
        <v>225291.7</v>
      </c>
      <c r="BV168" s="1">
        <v>12100000000</v>
      </c>
      <c r="BW168" s="1">
        <v>25860000000</v>
      </c>
      <c r="BX168" s="1">
        <v>3899000000</v>
      </c>
      <c r="BY168" s="1">
        <v>8286000000</v>
      </c>
      <c r="BZ168" s="1">
        <v>4174000000</v>
      </c>
      <c r="CA168" s="1">
        <v>8900000000</v>
      </c>
      <c r="CB168">
        <v>998874</v>
      </c>
      <c r="CC168">
        <v>2134319</v>
      </c>
      <c r="CD168">
        <v>553275</v>
      </c>
      <c r="CE168">
        <v>1175949</v>
      </c>
      <c r="CF168">
        <v>639534</v>
      </c>
      <c r="CG168">
        <v>1364073</v>
      </c>
      <c r="CH168">
        <v>3</v>
      </c>
      <c r="CI168">
        <v>402</v>
      </c>
      <c r="CJ168">
        <v>478480</v>
      </c>
      <c r="CK168">
        <v>4980091</v>
      </c>
      <c r="CL168">
        <v>816</v>
      </c>
      <c r="CM168">
        <v>492625</v>
      </c>
      <c r="CN168">
        <v>4977029</v>
      </c>
      <c r="CO168">
        <v>18134.5</v>
      </c>
      <c r="CP168">
        <v>12347.15</v>
      </c>
      <c r="CQ168">
        <v>18.134499999999999</v>
      </c>
      <c r="CR168">
        <v>12.347149999999999</v>
      </c>
      <c r="CS168">
        <f t="shared" si="5"/>
        <v>2664.5533980582522</v>
      </c>
    </row>
    <row r="169" spans="1:97">
      <c r="A169" t="s">
        <v>170</v>
      </c>
      <c r="B169" t="s">
        <v>163</v>
      </c>
      <c r="C169" t="s">
        <v>170</v>
      </c>
      <c r="D169">
        <v>437</v>
      </c>
      <c r="E169">
        <v>170</v>
      </c>
      <c r="F169">
        <v>83.666659999999993</v>
      </c>
      <c r="G169">
        <v>235</v>
      </c>
      <c r="H169">
        <v>91.570530000000005</v>
      </c>
      <c r="I169">
        <v>61667</v>
      </c>
      <c r="J169">
        <v>0.9</v>
      </c>
      <c r="K169">
        <v>57</v>
      </c>
      <c r="L169">
        <v>51</v>
      </c>
      <c r="M169">
        <v>49</v>
      </c>
      <c r="N169">
        <v>43</v>
      </c>
      <c r="O169">
        <v>98</v>
      </c>
      <c r="P169">
        <v>43</v>
      </c>
      <c r="Q169">
        <v>7</v>
      </c>
      <c r="R169">
        <v>8.6419800000000005E-2</v>
      </c>
      <c r="S169">
        <v>1.139535</v>
      </c>
      <c r="T169">
        <v>0.39837400000000001</v>
      </c>
      <c r="U169">
        <v>0.1858793</v>
      </c>
      <c r="V169">
        <v>0.60727419999999999</v>
      </c>
      <c r="W169">
        <v>0.39272580000000001</v>
      </c>
      <c r="X169">
        <v>2.7132E-2</v>
      </c>
      <c r="Y169" s="2">
        <f t="shared" si="4"/>
        <v>27.132000000000001</v>
      </c>
      <c r="Z169">
        <v>11953160</v>
      </c>
      <c r="AA169">
        <v>8797478</v>
      </c>
      <c r="AB169">
        <v>12500</v>
      </c>
      <c r="AC169">
        <v>1.36</v>
      </c>
      <c r="AD169">
        <v>0.25</v>
      </c>
      <c r="AE169">
        <v>0.11</v>
      </c>
      <c r="AF169">
        <v>0</v>
      </c>
      <c r="AG169">
        <v>0</v>
      </c>
      <c r="AH169">
        <v>9108.09</v>
      </c>
      <c r="AI169">
        <v>0</v>
      </c>
      <c r="AJ169">
        <v>9108</v>
      </c>
      <c r="AK169">
        <v>3</v>
      </c>
      <c r="AL169">
        <v>4</v>
      </c>
      <c r="AM169">
        <v>0</v>
      </c>
      <c r="AN169">
        <v>0</v>
      </c>
      <c r="AO169">
        <v>0</v>
      </c>
      <c r="AP169">
        <v>47</v>
      </c>
      <c r="AQ169">
        <v>0</v>
      </c>
      <c r="AR169">
        <v>0</v>
      </c>
      <c r="AS169">
        <v>2</v>
      </c>
      <c r="AT169">
        <v>0</v>
      </c>
      <c r="AU169">
        <v>0</v>
      </c>
      <c r="AV169">
        <v>0</v>
      </c>
      <c r="AW169">
        <v>0</v>
      </c>
      <c r="AX169">
        <v>8980</v>
      </c>
      <c r="AY169">
        <v>0</v>
      </c>
      <c r="AZ169">
        <v>0</v>
      </c>
      <c r="BA169">
        <v>128</v>
      </c>
      <c r="BB169">
        <v>0</v>
      </c>
      <c r="BC169">
        <v>5855</v>
      </c>
      <c r="BD169">
        <v>5</v>
      </c>
      <c r="BE169">
        <v>5889</v>
      </c>
      <c r="BF169">
        <v>22</v>
      </c>
      <c r="BG169">
        <v>5735</v>
      </c>
      <c r="BH169">
        <v>251</v>
      </c>
      <c r="BI169">
        <v>22.848610000000001</v>
      </c>
      <c r="BJ169">
        <v>28.663080000000001</v>
      </c>
      <c r="BK169">
        <v>28.663080000000001</v>
      </c>
      <c r="BL169">
        <v>28.663080000000001</v>
      </c>
      <c r="BM169">
        <v>502828.5</v>
      </c>
      <c r="BN169">
        <v>4946690</v>
      </c>
      <c r="BO169">
        <v>24.220690000000001</v>
      </c>
      <c r="BP169">
        <v>2.5663279999999999</v>
      </c>
      <c r="BQ169">
        <v>0.17108860000000001</v>
      </c>
      <c r="BR169">
        <v>9.4378770000000003</v>
      </c>
      <c r="BS169">
        <v>154153.60000000001</v>
      </c>
      <c r="BT169">
        <v>88541.31</v>
      </c>
      <c r="BU169">
        <v>82897.25</v>
      </c>
      <c r="BV169" s="1">
        <v>243700000</v>
      </c>
      <c r="BW169" s="1">
        <v>1164000000</v>
      </c>
      <c r="BX169">
        <v>87306118</v>
      </c>
      <c r="BY169" s="1">
        <v>385200000</v>
      </c>
      <c r="BZ169">
        <v>24990381</v>
      </c>
      <c r="CA169" s="1">
        <v>208000000</v>
      </c>
      <c r="CB169">
        <v>145242</v>
      </c>
      <c r="CC169">
        <v>693976</v>
      </c>
      <c r="CD169">
        <v>89008</v>
      </c>
      <c r="CE169">
        <v>392696</v>
      </c>
      <c r="CF169">
        <v>49881</v>
      </c>
      <c r="CG169">
        <v>415772</v>
      </c>
      <c r="CH169">
        <v>3</v>
      </c>
      <c r="CI169">
        <v>402</v>
      </c>
      <c r="CJ169">
        <v>478480</v>
      </c>
      <c r="CK169">
        <v>4980091</v>
      </c>
      <c r="CL169">
        <v>816</v>
      </c>
      <c r="CM169">
        <v>492625</v>
      </c>
      <c r="CN169">
        <v>4977029</v>
      </c>
      <c r="CO169">
        <v>41333.74</v>
      </c>
      <c r="CP169">
        <v>32008.86</v>
      </c>
      <c r="CQ169">
        <v>41.333739999999999</v>
      </c>
      <c r="CR169">
        <v>32.008859999999999</v>
      </c>
      <c r="CS169">
        <f t="shared" si="5"/>
        <v>223.58139534883722</v>
      </c>
    </row>
    <row r="170" spans="1:97">
      <c r="A170" t="s">
        <v>171</v>
      </c>
      <c r="B170" t="s">
        <v>163</v>
      </c>
      <c r="C170" t="s">
        <v>171</v>
      </c>
      <c r="D170">
        <v>1243</v>
      </c>
      <c r="E170">
        <v>14</v>
      </c>
      <c r="F170">
        <v>7.2386359999999996</v>
      </c>
      <c r="G170">
        <v>257</v>
      </c>
      <c r="H170">
        <v>2.9045619999999999</v>
      </c>
      <c r="I170">
        <v>64118</v>
      </c>
      <c r="J170">
        <v>0.84</v>
      </c>
      <c r="K170">
        <v>194</v>
      </c>
      <c r="L170">
        <v>163</v>
      </c>
      <c r="M170">
        <v>133</v>
      </c>
      <c r="N170">
        <v>102</v>
      </c>
      <c r="O170">
        <v>266</v>
      </c>
      <c r="P170">
        <v>102</v>
      </c>
      <c r="Q170">
        <v>32</v>
      </c>
      <c r="R170">
        <v>0.160804</v>
      </c>
      <c r="S170">
        <v>1.303922</v>
      </c>
      <c r="T170">
        <v>0.44333329999999999</v>
      </c>
      <c r="U170">
        <v>1.002399</v>
      </c>
      <c r="V170">
        <v>0.2161274</v>
      </c>
      <c r="W170">
        <v>0.78387260000000003</v>
      </c>
      <c r="X170">
        <v>1.291E-2</v>
      </c>
      <c r="Y170" s="2">
        <f t="shared" si="4"/>
        <v>12.91</v>
      </c>
      <c r="Z170">
        <v>82147146</v>
      </c>
      <c r="AA170">
        <v>61624254</v>
      </c>
      <c r="AB170">
        <v>12500</v>
      </c>
      <c r="AC170">
        <v>1.33</v>
      </c>
      <c r="AD170">
        <v>0.57999999999999996</v>
      </c>
      <c r="AE170">
        <v>0.45</v>
      </c>
      <c r="AF170">
        <v>0</v>
      </c>
      <c r="AG170">
        <v>8941.2999999999993</v>
      </c>
      <c r="AH170">
        <v>124377.7</v>
      </c>
      <c r="AI170">
        <v>0</v>
      </c>
      <c r="AJ170">
        <v>133319</v>
      </c>
      <c r="AK170">
        <v>88</v>
      </c>
      <c r="AL170">
        <v>2</v>
      </c>
      <c r="AM170">
        <v>0</v>
      </c>
      <c r="AN170">
        <v>9</v>
      </c>
      <c r="AO170">
        <v>0</v>
      </c>
      <c r="AP170">
        <v>119</v>
      </c>
      <c r="AQ170">
        <v>0</v>
      </c>
      <c r="AR170">
        <v>0</v>
      </c>
      <c r="AS170">
        <v>5</v>
      </c>
      <c r="AT170">
        <v>0</v>
      </c>
      <c r="AU170">
        <v>0</v>
      </c>
      <c r="AV170">
        <v>8941</v>
      </c>
      <c r="AW170">
        <v>0</v>
      </c>
      <c r="AX170">
        <v>122794</v>
      </c>
      <c r="AY170">
        <v>0</v>
      </c>
      <c r="AZ170">
        <v>0</v>
      </c>
      <c r="BA170">
        <v>1584</v>
      </c>
      <c r="BB170">
        <v>0</v>
      </c>
      <c r="BC170">
        <v>0</v>
      </c>
      <c r="BD170">
        <v>0</v>
      </c>
      <c r="BE170">
        <v>178716</v>
      </c>
      <c r="BF170">
        <v>231</v>
      </c>
      <c r="BG170">
        <v>14965</v>
      </c>
      <c r="BH170">
        <v>637</v>
      </c>
      <c r="BI170">
        <v>23.492940000000001</v>
      </c>
      <c r="BJ170">
        <v>29.145669999999999</v>
      </c>
      <c r="BK170">
        <v>29.145669999999999</v>
      </c>
      <c r="BL170">
        <v>29.145669999999999</v>
      </c>
      <c r="BM170">
        <v>502088.8</v>
      </c>
      <c r="BN170">
        <v>4946610</v>
      </c>
      <c r="BO170">
        <v>350.98880000000003</v>
      </c>
      <c r="BP170">
        <v>88.48151</v>
      </c>
      <c r="BQ170">
        <v>0.89375260000000001</v>
      </c>
      <c r="BR170">
        <v>3.9668049999999999</v>
      </c>
      <c r="BS170">
        <v>13660.69</v>
      </c>
      <c r="BT170">
        <v>7000.692</v>
      </c>
      <c r="BU170">
        <v>2824.4549999999999</v>
      </c>
      <c r="CH170">
        <v>1</v>
      </c>
      <c r="CI170">
        <v>402</v>
      </c>
      <c r="CJ170">
        <v>478480</v>
      </c>
      <c r="CK170">
        <v>4980091</v>
      </c>
      <c r="CL170">
        <v>816</v>
      </c>
      <c r="CM170">
        <v>492625</v>
      </c>
      <c r="CN170">
        <v>4977029</v>
      </c>
      <c r="CO170">
        <v>40967.730000000003</v>
      </c>
      <c r="CP170">
        <v>31857.18</v>
      </c>
      <c r="CQ170">
        <v>40.967730000000003</v>
      </c>
      <c r="CR170">
        <v>31.85718</v>
      </c>
      <c r="CS170">
        <f t="shared" si="5"/>
        <v>2815.0294117647059</v>
      </c>
    </row>
    <row r="171" spans="1:97">
      <c r="A171" t="s">
        <v>172</v>
      </c>
      <c r="B171" t="s">
        <v>258</v>
      </c>
      <c r="C171" t="s">
        <v>172</v>
      </c>
      <c r="D171">
        <v>4025</v>
      </c>
      <c r="E171">
        <v>182</v>
      </c>
      <c r="F171">
        <v>94.227270000000004</v>
      </c>
      <c r="G171">
        <v>940</v>
      </c>
      <c r="H171">
        <v>42.47533</v>
      </c>
      <c r="I171">
        <v>86772</v>
      </c>
      <c r="J171">
        <v>0.87</v>
      </c>
      <c r="K171">
        <v>445</v>
      </c>
      <c r="L171">
        <v>389</v>
      </c>
      <c r="M171">
        <v>389</v>
      </c>
      <c r="N171">
        <v>333</v>
      </c>
      <c r="O171">
        <v>778</v>
      </c>
      <c r="P171">
        <v>333</v>
      </c>
      <c r="Q171">
        <v>57</v>
      </c>
      <c r="R171">
        <v>8.6233000000000004E-2</v>
      </c>
      <c r="S171">
        <v>1.1681680000000001</v>
      </c>
      <c r="T171">
        <v>0.39174219999999998</v>
      </c>
      <c r="U171">
        <v>0.19564980000000001</v>
      </c>
      <c r="V171">
        <v>0.47799409999999998</v>
      </c>
      <c r="W171">
        <v>0.52200590000000002</v>
      </c>
      <c r="X171">
        <v>3.519E-3</v>
      </c>
      <c r="Y171" s="2">
        <f t="shared" si="4"/>
        <v>3.5190000000000001</v>
      </c>
      <c r="Z171">
        <v>41685893</v>
      </c>
      <c r="AA171">
        <v>27359742</v>
      </c>
      <c r="AB171">
        <v>11762</v>
      </c>
      <c r="AC171">
        <v>1.52</v>
      </c>
      <c r="AD171">
        <v>0.68</v>
      </c>
      <c r="AE171">
        <v>0.85</v>
      </c>
      <c r="AF171">
        <v>0</v>
      </c>
      <c r="AG171">
        <v>9258.77</v>
      </c>
      <c r="AH171">
        <v>66849.009999999995</v>
      </c>
      <c r="AI171">
        <v>0</v>
      </c>
      <c r="AJ171">
        <v>76108</v>
      </c>
      <c r="AK171">
        <v>22</v>
      </c>
      <c r="AL171">
        <v>3</v>
      </c>
      <c r="AM171">
        <v>0</v>
      </c>
      <c r="AN171">
        <v>0</v>
      </c>
      <c r="AO171">
        <v>39</v>
      </c>
      <c r="AP171">
        <v>337</v>
      </c>
      <c r="AQ171">
        <v>0</v>
      </c>
      <c r="AR171">
        <v>0</v>
      </c>
      <c r="AS171">
        <v>13</v>
      </c>
      <c r="AT171">
        <v>0</v>
      </c>
      <c r="AU171">
        <v>0</v>
      </c>
      <c r="AV171">
        <v>0</v>
      </c>
      <c r="AW171">
        <v>9259</v>
      </c>
      <c r="AX171">
        <v>62221</v>
      </c>
      <c r="AY171">
        <v>0</v>
      </c>
      <c r="AZ171">
        <v>0</v>
      </c>
      <c r="BA171">
        <v>4628</v>
      </c>
      <c r="BB171">
        <v>0</v>
      </c>
      <c r="BC171">
        <v>111521</v>
      </c>
      <c r="BD171">
        <v>29</v>
      </c>
      <c r="BE171">
        <v>120051</v>
      </c>
      <c r="BF171">
        <v>48</v>
      </c>
      <c r="BG171">
        <v>58640</v>
      </c>
      <c r="BH171">
        <v>2073</v>
      </c>
      <c r="BI171">
        <v>28.287510000000001</v>
      </c>
      <c r="BJ171">
        <v>26.764579999999999</v>
      </c>
      <c r="BK171">
        <v>26.764579999999999</v>
      </c>
      <c r="BL171">
        <v>26.764579999999999</v>
      </c>
      <c r="BM171">
        <v>448275.9</v>
      </c>
      <c r="BN171">
        <v>4968623</v>
      </c>
      <c r="BO171">
        <v>198.08150000000001</v>
      </c>
      <c r="BP171">
        <v>22.130490000000002</v>
      </c>
      <c r="BQ171">
        <v>0.1941271</v>
      </c>
      <c r="BR171">
        <v>8.9506150000000009</v>
      </c>
      <c r="BS171">
        <v>114164</v>
      </c>
      <c r="BT171">
        <v>58798.01</v>
      </c>
      <c r="BU171">
        <v>26661.91</v>
      </c>
      <c r="BV171" s="1">
        <v>678400000</v>
      </c>
      <c r="BW171" s="1">
        <v>2153000000</v>
      </c>
      <c r="BX171" s="1">
        <v>232800000</v>
      </c>
      <c r="BY171" s="1">
        <v>750600000</v>
      </c>
      <c r="BZ171">
        <v>65178488</v>
      </c>
      <c r="CA171" s="1">
        <v>444000000</v>
      </c>
      <c r="CB171">
        <v>202632</v>
      </c>
      <c r="CC171">
        <v>643032</v>
      </c>
      <c r="CD171">
        <v>125721</v>
      </c>
      <c r="CE171">
        <v>405340</v>
      </c>
      <c r="CF171">
        <v>69934</v>
      </c>
      <c r="CG171">
        <v>476754</v>
      </c>
      <c r="CH171">
        <v>3</v>
      </c>
      <c r="CI171">
        <v>402</v>
      </c>
      <c r="CJ171">
        <v>478480</v>
      </c>
      <c r="CK171">
        <v>4980091</v>
      </c>
      <c r="CL171">
        <v>816</v>
      </c>
      <c r="CM171">
        <v>492625</v>
      </c>
      <c r="CN171">
        <v>4977029</v>
      </c>
      <c r="CO171">
        <v>32307.93</v>
      </c>
      <c r="CP171">
        <v>45138.71</v>
      </c>
      <c r="CQ171">
        <v>32.307929999999999</v>
      </c>
      <c r="CR171">
        <v>45.138710000000003</v>
      </c>
      <c r="CS171">
        <f t="shared" si="5"/>
        <v>580.18018018018017</v>
      </c>
    </row>
    <row r="172" spans="1:97">
      <c r="A172" t="s">
        <v>173</v>
      </c>
      <c r="B172" t="s">
        <v>258</v>
      </c>
      <c r="C172" t="s">
        <v>173</v>
      </c>
      <c r="D172">
        <v>6814</v>
      </c>
      <c r="E172">
        <v>864</v>
      </c>
      <c r="F172">
        <v>429.375</v>
      </c>
      <c r="G172">
        <v>3993</v>
      </c>
      <c r="H172">
        <v>506.46440000000001</v>
      </c>
      <c r="I172">
        <v>55705</v>
      </c>
      <c r="J172">
        <v>0.88</v>
      </c>
      <c r="K172">
        <v>560</v>
      </c>
      <c r="L172">
        <v>463</v>
      </c>
      <c r="M172">
        <v>483</v>
      </c>
      <c r="N172">
        <v>386</v>
      </c>
      <c r="O172">
        <v>966</v>
      </c>
      <c r="P172">
        <v>386</v>
      </c>
      <c r="Q172">
        <v>98</v>
      </c>
      <c r="R172">
        <v>0.12777050000000001</v>
      </c>
      <c r="S172">
        <v>1.251295</v>
      </c>
      <c r="T172">
        <v>0.4192708</v>
      </c>
      <c r="U172">
        <v>0.13708680000000001</v>
      </c>
      <c r="V172">
        <v>0.37282480000000001</v>
      </c>
      <c r="W172">
        <v>0.62717520000000004</v>
      </c>
      <c r="X172">
        <v>3.2499999999999999E-3</v>
      </c>
      <c r="Y172" s="2">
        <f t="shared" si="4"/>
        <v>3.25</v>
      </c>
      <c r="Z172">
        <v>32142962</v>
      </c>
      <c r="AA172">
        <v>19331666</v>
      </c>
      <c r="AB172">
        <v>12105</v>
      </c>
      <c r="AC172">
        <v>1.66</v>
      </c>
      <c r="AD172">
        <v>0.38</v>
      </c>
      <c r="AE172">
        <v>0.46</v>
      </c>
      <c r="AF172">
        <v>0</v>
      </c>
      <c r="AG172">
        <v>3517.84</v>
      </c>
      <c r="AH172">
        <v>62695.08</v>
      </c>
      <c r="AI172">
        <v>0</v>
      </c>
      <c r="AJ172">
        <v>66213</v>
      </c>
      <c r="AK172">
        <v>8</v>
      </c>
      <c r="AL172">
        <v>8</v>
      </c>
      <c r="AM172">
        <v>0</v>
      </c>
      <c r="AN172">
        <v>0</v>
      </c>
      <c r="AO172">
        <v>13</v>
      </c>
      <c r="AP172">
        <v>455</v>
      </c>
      <c r="AQ172">
        <v>0</v>
      </c>
      <c r="AR172">
        <v>0</v>
      </c>
      <c r="AS172">
        <v>15</v>
      </c>
      <c r="AT172">
        <v>0</v>
      </c>
      <c r="AU172">
        <v>0</v>
      </c>
      <c r="AV172">
        <v>0</v>
      </c>
      <c r="AW172">
        <v>3518</v>
      </c>
      <c r="AX172">
        <v>61137</v>
      </c>
      <c r="AY172">
        <v>0</v>
      </c>
      <c r="AZ172">
        <v>0</v>
      </c>
      <c r="BA172">
        <v>1558</v>
      </c>
      <c r="BB172">
        <v>0</v>
      </c>
      <c r="BC172">
        <v>49923</v>
      </c>
      <c r="BD172">
        <v>29</v>
      </c>
      <c r="BE172">
        <v>72641</v>
      </c>
      <c r="BF172">
        <v>17</v>
      </c>
      <c r="BG172">
        <v>93610</v>
      </c>
      <c r="BH172">
        <v>3435</v>
      </c>
      <c r="BI172">
        <v>27.251819999999999</v>
      </c>
      <c r="BJ172">
        <v>26.288650000000001</v>
      </c>
      <c r="BK172">
        <v>26.288650000000001</v>
      </c>
      <c r="BL172">
        <v>26.288650000000001</v>
      </c>
      <c r="BM172">
        <v>437031.4</v>
      </c>
      <c r="BN172">
        <v>4965866</v>
      </c>
      <c r="BO172">
        <v>166.16319999999999</v>
      </c>
      <c r="BP172">
        <v>7.8840690000000002</v>
      </c>
      <c r="BQ172">
        <v>4.8073600000000001E-2</v>
      </c>
      <c r="BR172">
        <v>21.07582</v>
      </c>
      <c r="BS172">
        <v>439483.6</v>
      </c>
      <c r="BT172">
        <v>221547.7</v>
      </c>
      <c r="BU172">
        <v>257537.1</v>
      </c>
      <c r="CH172">
        <v>1</v>
      </c>
      <c r="CI172">
        <v>402</v>
      </c>
      <c r="CJ172">
        <v>478480</v>
      </c>
      <c r="CK172">
        <v>4980091</v>
      </c>
      <c r="CL172">
        <v>816</v>
      </c>
      <c r="CM172">
        <v>492625</v>
      </c>
      <c r="CN172">
        <v>4977029</v>
      </c>
      <c r="CO172">
        <v>43821.64</v>
      </c>
      <c r="CP172">
        <v>56703.27</v>
      </c>
      <c r="CQ172">
        <v>43.821640000000002</v>
      </c>
      <c r="CR172">
        <v>56.703270000000003</v>
      </c>
      <c r="CS172">
        <f t="shared" si="5"/>
        <v>300.09844559585491</v>
      </c>
    </row>
    <row r="173" spans="1:97">
      <c r="A173" t="s">
        <v>174</v>
      </c>
      <c r="B173" t="s">
        <v>258</v>
      </c>
      <c r="C173" t="s">
        <v>174</v>
      </c>
      <c r="D173">
        <v>1284</v>
      </c>
      <c r="E173">
        <v>15</v>
      </c>
      <c r="F173">
        <v>7.6024099999999999</v>
      </c>
      <c r="G173">
        <v>72</v>
      </c>
      <c r="H173">
        <v>0.8636819</v>
      </c>
      <c r="I173">
        <v>76113</v>
      </c>
      <c r="J173">
        <v>0.87</v>
      </c>
      <c r="K173">
        <v>340</v>
      </c>
      <c r="L173">
        <v>335</v>
      </c>
      <c r="M173">
        <v>251</v>
      </c>
      <c r="N173">
        <v>246</v>
      </c>
      <c r="O173">
        <v>502</v>
      </c>
      <c r="P173">
        <v>246</v>
      </c>
      <c r="Q173">
        <v>6</v>
      </c>
      <c r="R173">
        <v>1.2320299999999999E-2</v>
      </c>
      <c r="S173">
        <v>1.0203249999999999</v>
      </c>
      <c r="T173">
        <v>0.34289619999999998</v>
      </c>
      <c r="U173">
        <v>0.48370809999999997</v>
      </c>
      <c r="V173">
        <v>0.48290139999999998</v>
      </c>
      <c r="W173">
        <v>0.51709859999999996</v>
      </c>
      <c r="X173">
        <v>4.1650000000000003E-3</v>
      </c>
      <c r="Y173" s="2">
        <f t="shared" si="4"/>
        <v>4.165</v>
      </c>
      <c r="Z173">
        <v>84384853</v>
      </c>
      <c r="AA173">
        <v>55330393</v>
      </c>
      <c r="AB173">
        <v>10913</v>
      </c>
      <c r="AC173">
        <v>1.53</v>
      </c>
      <c r="AD173">
        <v>1.1200000000000001</v>
      </c>
      <c r="AE173">
        <v>1.07</v>
      </c>
      <c r="AF173">
        <v>0</v>
      </c>
      <c r="AG173">
        <v>15889.82</v>
      </c>
      <c r="AH173">
        <v>105520.9</v>
      </c>
      <c r="AI173">
        <v>0</v>
      </c>
      <c r="AJ173">
        <v>121411</v>
      </c>
      <c r="AK173">
        <v>83</v>
      </c>
      <c r="AL173">
        <v>1</v>
      </c>
      <c r="AM173">
        <v>0</v>
      </c>
      <c r="AN173">
        <v>0</v>
      </c>
      <c r="AO173">
        <v>23</v>
      </c>
      <c r="AP173">
        <v>179</v>
      </c>
      <c r="AQ173">
        <v>0</v>
      </c>
      <c r="AR173">
        <v>0</v>
      </c>
      <c r="AS173">
        <v>49</v>
      </c>
      <c r="AT173">
        <v>0</v>
      </c>
      <c r="AU173">
        <v>0</v>
      </c>
      <c r="AV173">
        <v>0</v>
      </c>
      <c r="AW173">
        <v>15890</v>
      </c>
      <c r="AX173">
        <v>90839</v>
      </c>
      <c r="AY173">
        <v>0</v>
      </c>
      <c r="AZ173">
        <v>0</v>
      </c>
      <c r="BA173">
        <v>14682</v>
      </c>
      <c r="BB173">
        <v>0</v>
      </c>
      <c r="BC173">
        <v>0</v>
      </c>
      <c r="BD173">
        <v>0</v>
      </c>
      <c r="BE173">
        <v>82550</v>
      </c>
      <c r="BF173">
        <v>103</v>
      </c>
      <c r="BG173">
        <v>18120</v>
      </c>
      <c r="BH173">
        <v>631</v>
      </c>
      <c r="BI173">
        <v>28.71632</v>
      </c>
      <c r="BJ173">
        <v>28.50752</v>
      </c>
      <c r="BK173">
        <v>28.50752</v>
      </c>
      <c r="BL173">
        <v>28.50752</v>
      </c>
      <c r="BM173">
        <v>434356.5</v>
      </c>
      <c r="BN173">
        <v>4966379</v>
      </c>
      <c r="BO173">
        <v>379.87290000000002</v>
      </c>
      <c r="BP173">
        <v>83.36403</v>
      </c>
      <c r="BQ173">
        <v>0.64623280000000005</v>
      </c>
      <c r="BR173">
        <v>4.5567960000000003</v>
      </c>
      <c r="BS173">
        <v>10946.91</v>
      </c>
      <c r="BT173">
        <v>5379.6710000000003</v>
      </c>
      <c r="BU173">
        <v>613.84519999999998</v>
      </c>
      <c r="BV173" s="1">
        <v>959800000</v>
      </c>
      <c r="BW173" s="1">
        <v>2367000000</v>
      </c>
      <c r="BX173" s="1">
        <v>305300000</v>
      </c>
      <c r="BY173" s="1">
        <v>810100000</v>
      </c>
      <c r="BZ173" s="1">
        <v>171800000</v>
      </c>
      <c r="CA173" s="1">
        <v>473000000</v>
      </c>
      <c r="CB173">
        <v>118511</v>
      </c>
      <c r="CC173">
        <v>292260</v>
      </c>
      <c r="CD173">
        <v>71925</v>
      </c>
      <c r="CE173">
        <v>190848</v>
      </c>
      <c r="CF173">
        <v>41276</v>
      </c>
      <c r="CG173">
        <v>113616</v>
      </c>
      <c r="CH173">
        <v>3</v>
      </c>
      <c r="CI173">
        <v>402</v>
      </c>
      <c r="CJ173">
        <v>478480</v>
      </c>
      <c r="CK173">
        <v>4980091</v>
      </c>
      <c r="CL173">
        <v>816</v>
      </c>
      <c r="CM173">
        <v>492625</v>
      </c>
      <c r="CN173">
        <v>4977029</v>
      </c>
      <c r="CO173">
        <v>46205.18</v>
      </c>
      <c r="CP173">
        <v>59233.9</v>
      </c>
      <c r="CQ173">
        <v>46.205179999999999</v>
      </c>
      <c r="CR173">
        <v>59.233899999999998</v>
      </c>
      <c r="CS173">
        <f t="shared" si="5"/>
        <v>537.60975609756099</v>
      </c>
    </row>
    <row r="174" spans="1:97">
      <c r="A174" t="s">
        <v>175</v>
      </c>
      <c r="B174" t="s">
        <v>163</v>
      </c>
      <c r="C174" t="s">
        <v>175</v>
      </c>
      <c r="D174">
        <v>517</v>
      </c>
      <c r="E174">
        <v>14</v>
      </c>
      <c r="F174">
        <v>6.6578949999999999</v>
      </c>
      <c r="G174">
        <v>428</v>
      </c>
      <c r="H174">
        <v>11.22757</v>
      </c>
      <c r="I174">
        <v>51563</v>
      </c>
      <c r="J174">
        <v>0.88</v>
      </c>
      <c r="K174">
        <v>114</v>
      </c>
      <c r="L174">
        <v>34</v>
      </c>
      <c r="M174">
        <v>65</v>
      </c>
      <c r="N174">
        <v>51</v>
      </c>
      <c r="O174">
        <v>130</v>
      </c>
      <c r="P174">
        <v>51</v>
      </c>
      <c r="Q174">
        <v>15</v>
      </c>
      <c r="R174">
        <v>0.1546392</v>
      </c>
      <c r="S174">
        <v>1.27451</v>
      </c>
      <c r="T174">
        <v>0.44217689999999998</v>
      </c>
      <c r="U174">
        <v>0.94513820000000004</v>
      </c>
      <c r="V174">
        <v>0.24192150000000001</v>
      </c>
      <c r="W174">
        <v>0.75807849999999999</v>
      </c>
      <c r="X174">
        <v>2.5489999999999999E-2</v>
      </c>
      <c r="Y174" s="2">
        <f t="shared" si="4"/>
        <v>25.49</v>
      </c>
      <c r="Z174">
        <v>62298410</v>
      </c>
      <c r="AA174">
        <v>45172132</v>
      </c>
      <c r="AB174">
        <v>12500</v>
      </c>
      <c r="AC174">
        <v>1.38</v>
      </c>
      <c r="AD174">
        <v>0.83</v>
      </c>
      <c r="AE174">
        <v>0.68</v>
      </c>
      <c r="AF174">
        <v>0</v>
      </c>
      <c r="AG174">
        <v>8515.81</v>
      </c>
      <c r="AH174">
        <v>52918.17</v>
      </c>
      <c r="AI174">
        <v>0</v>
      </c>
      <c r="AJ174">
        <v>61434</v>
      </c>
      <c r="AK174">
        <v>38</v>
      </c>
      <c r="AL174">
        <v>2</v>
      </c>
      <c r="AM174">
        <v>0</v>
      </c>
      <c r="AN174">
        <v>0</v>
      </c>
      <c r="AO174">
        <v>10</v>
      </c>
      <c r="AP174">
        <v>52</v>
      </c>
      <c r="AQ174">
        <v>0</v>
      </c>
      <c r="AR174">
        <v>0</v>
      </c>
      <c r="AS174">
        <v>2</v>
      </c>
      <c r="AT174">
        <v>1</v>
      </c>
      <c r="AU174">
        <v>0</v>
      </c>
      <c r="AV174">
        <v>0</v>
      </c>
      <c r="AW174">
        <v>8516</v>
      </c>
      <c r="AX174">
        <v>52232</v>
      </c>
      <c r="AY174">
        <v>0</v>
      </c>
      <c r="AZ174">
        <v>0</v>
      </c>
      <c r="BA174">
        <v>497</v>
      </c>
      <c r="BB174">
        <v>190</v>
      </c>
      <c r="BC174">
        <v>0</v>
      </c>
      <c r="BD174">
        <v>0</v>
      </c>
      <c r="BE174">
        <v>56440</v>
      </c>
      <c r="BF174">
        <v>176</v>
      </c>
      <c r="BG174">
        <v>6815</v>
      </c>
      <c r="BH174">
        <v>253</v>
      </c>
      <c r="BI174">
        <v>26.93676</v>
      </c>
      <c r="BJ174">
        <v>30.819230000000001</v>
      </c>
      <c r="BK174">
        <v>30.819230000000001</v>
      </c>
      <c r="BL174">
        <v>30.819230000000001</v>
      </c>
      <c r="BM174">
        <v>489661.2</v>
      </c>
      <c r="BN174">
        <v>4928284</v>
      </c>
      <c r="BO174">
        <v>198.5943</v>
      </c>
      <c r="BP174">
        <v>38.115830000000003</v>
      </c>
      <c r="BQ174">
        <v>0.53684259999999995</v>
      </c>
      <c r="BR174">
        <v>5.210286</v>
      </c>
      <c r="BS174">
        <v>13776.88</v>
      </c>
      <c r="BT174">
        <v>6741.8770000000004</v>
      </c>
      <c r="BU174">
        <v>11405.23</v>
      </c>
      <c r="CH174">
        <v>1</v>
      </c>
      <c r="CI174">
        <v>402</v>
      </c>
      <c r="CJ174">
        <v>478480</v>
      </c>
      <c r="CK174">
        <v>4980091</v>
      </c>
      <c r="CL174">
        <v>816</v>
      </c>
      <c r="CM174">
        <v>492625</v>
      </c>
      <c r="CN174">
        <v>4977029</v>
      </c>
      <c r="CO174">
        <v>53000.35</v>
      </c>
      <c r="CP174">
        <v>48835.519999999997</v>
      </c>
      <c r="CQ174">
        <v>53.000349999999997</v>
      </c>
      <c r="CR174">
        <v>48.835509999999999</v>
      </c>
      <c r="CS174">
        <f t="shared" si="5"/>
        <v>1784.1568627450981</v>
      </c>
    </row>
    <row r="175" spans="1:97">
      <c r="A175" t="s">
        <v>176</v>
      </c>
      <c r="B175" t="s">
        <v>258</v>
      </c>
      <c r="C175" t="s">
        <v>176</v>
      </c>
      <c r="D175">
        <v>3029</v>
      </c>
      <c r="E175">
        <v>701</v>
      </c>
      <c r="F175">
        <v>388.5</v>
      </c>
      <c r="G175">
        <v>682</v>
      </c>
      <c r="H175">
        <v>157.946</v>
      </c>
      <c r="I175">
        <v>47500</v>
      </c>
      <c r="J175">
        <v>0.85</v>
      </c>
      <c r="K175">
        <v>314</v>
      </c>
      <c r="L175">
        <v>259</v>
      </c>
      <c r="M175">
        <v>267</v>
      </c>
      <c r="N175">
        <v>212</v>
      </c>
      <c r="O175">
        <v>534</v>
      </c>
      <c r="P175">
        <v>212</v>
      </c>
      <c r="Q175">
        <v>56</v>
      </c>
      <c r="R175">
        <v>0.13365160000000001</v>
      </c>
      <c r="S175">
        <v>1.2594339999999999</v>
      </c>
      <c r="T175">
        <v>0.42380950000000001</v>
      </c>
      <c r="U175">
        <v>0.13320070000000001</v>
      </c>
      <c r="V175">
        <v>0.4149659</v>
      </c>
      <c r="W175">
        <v>0.5850341</v>
      </c>
      <c r="X175">
        <v>5.9690000000000003E-3</v>
      </c>
      <c r="Y175" s="2">
        <f t="shared" si="4"/>
        <v>5.9690000000000003</v>
      </c>
      <c r="Z175">
        <v>15440836</v>
      </c>
      <c r="AA175">
        <v>10508516</v>
      </c>
      <c r="AB175">
        <v>12005</v>
      </c>
      <c r="AC175">
        <v>1.47</v>
      </c>
      <c r="AD175">
        <v>0.51</v>
      </c>
      <c r="AE175">
        <v>0.75</v>
      </c>
      <c r="AF175">
        <v>0</v>
      </c>
      <c r="AG175">
        <v>2904.36</v>
      </c>
      <c r="AH175">
        <v>32660.22</v>
      </c>
      <c r="AI175">
        <v>0</v>
      </c>
      <c r="AJ175">
        <v>35565</v>
      </c>
      <c r="AK175">
        <v>4</v>
      </c>
      <c r="AL175">
        <v>8</v>
      </c>
      <c r="AM175">
        <v>0</v>
      </c>
      <c r="AN175">
        <v>0</v>
      </c>
      <c r="AO175">
        <v>15</v>
      </c>
      <c r="AP175">
        <v>245</v>
      </c>
      <c r="AQ175">
        <v>5</v>
      </c>
      <c r="AR175">
        <v>0</v>
      </c>
      <c r="AS175">
        <v>2</v>
      </c>
      <c r="AT175">
        <v>0</v>
      </c>
      <c r="AU175">
        <v>0</v>
      </c>
      <c r="AV175">
        <v>0</v>
      </c>
      <c r="AW175">
        <v>2904</v>
      </c>
      <c r="AX175">
        <v>30750</v>
      </c>
      <c r="AY175">
        <v>1323</v>
      </c>
      <c r="AZ175">
        <v>0</v>
      </c>
      <c r="BA175">
        <v>588</v>
      </c>
      <c r="BB175">
        <v>0</v>
      </c>
      <c r="BC175">
        <v>24932</v>
      </c>
      <c r="BD175">
        <v>17</v>
      </c>
      <c r="BE175">
        <v>29408</v>
      </c>
      <c r="BF175">
        <v>16</v>
      </c>
      <c r="BG175">
        <v>43525</v>
      </c>
      <c r="BH175">
        <v>1554</v>
      </c>
      <c r="BI175">
        <v>28.008369999999999</v>
      </c>
      <c r="BJ175">
        <v>26.673200000000001</v>
      </c>
      <c r="BK175">
        <v>26.673200000000001</v>
      </c>
      <c r="BL175">
        <v>26.673200000000001</v>
      </c>
      <c r="BM175">
        <v>433459.8</v>
      </c>
      <c r="BN175">
        <v>4979001</v>
      </c>
      <c r="BO175">
        <v>85.211119999999994</v>
      </c>
      <c r="BP175">
        <v>4.317933</v>
      </c>
      <c r="BQ175">
        <v>4.4060500000000002E-2</v>
      </c>
      <c r="BR175">
        <v>19.73424</v>
      </c>
      <c r="BS175">
        <v>470221.5</v>
      </c>
      <c r="BT175">
        <v>241242.7</v>
      </c>
      <c r="BU175">
        <v>105873.60000000001</v>
      </c>
      <c r="CH175">
        <v>1</v>
      </c>
      <c r="CI175">
        <v>402</v>
      </c>
      <c r="CJ175">
        <v>478480</v>
      </c>
      <c r="CK175">
        <v>4980091</v>
      </c>
      <c r="CL175">
        <v>816</v>
      </c>
      <c r="CM175">
        <v>492625</v>
      </c>
      <c r="CN175">
        <v>4977029</v>
      </c>
      <c r="CO175">
        <v>45033.440000000002</v>
      </c>
      <c r="CP175">
        <v>59198.11</v>
      </c>
      <c r="CQ175">
        <v>45.033439999999999</v>
      </c>
      <c r="CR175">
        <v>59.198099999999997</v>
      </c>
      <c r="CS175">
        <f t="shared" si="5"/>
        <v>228.60377358490567</v>
      </c>
    </row>
    <row r="176" spans="1:97">
      <c r="A176" t="s">
        <v>177</v>
      </c>
      <c r="B176" t="s">
        <v>258</v>
      </c>
      <c r="C176" t="s">
        <v>177</v>
      </c>
      <c r="D176">
        <v>1432</v>
      </c>
      <c r="E176">
        <v>16</v>
      </c>
      <c r="F176">
        <v>7.4382020000000004</v>
      </c>
      <c r="G176">
        <v>210</v>
      </c>
      <c r="H176">
        <v>2.3687140000000002</v>
      </c>
      <c r="I176">
        <v>61083</v>
      </c>
      <c r="J176">
        <v>0.82</v>
      </c>
      <c r="K176">
        <v>285</v>
      </c>
      <c r="L176">
        <v>270</v>
      </c>
      <c r="M176">
        <v>206</v>
      </c>
      <c r="N176">
        <v>191</v>
      </c>
      <c r="O176">
        <v>412</v>
      </c>
      <c r="P176">
        <v>191</v>
      </c>
      <c r="Q176">
        <v>16</v>
      </c>
      <c r="R176">
        <v>4.24403E-2</v>
      </c>
      <c r="S176">
        <v>1.0785340000000001</v>
      </c>
      <c r="T176">
        <v>0.36331570000000002</v>
      </c>
      <c r="U176">
        <v>0.65071670000000004</v>
      </c>
      <c r="V176">
        <v>0.34808990000000001</v>
      </c>
      <c r="W176">
        <v>0.65191010000000005</v>
      </c>
      <c r="X176">
        <v>5.6759999999999996E-3</v>
      </c>
      <c r="Y176" s="2">
        <f t="shared" si="4"/>
        <v>5.6759999999999993</v>
      </c>
      <c r="Z176">
        <v>110299361</v>
      </c>
      <c r="AA176">
        <v>62007443</v>
      </c>
      <c r="AB176">
        <v>11909</v>
      </c>
      <c r="AC176">
        <v>1.78</v>
      </c>
      <c r="AD176">
        <v>1.29</v>
      </c>
      <c r="AE176">
        <v>1.22</v>
      </c>
      <c r="AF176">
        <v>0</v>
      </c>
      <c r="AG176">
        <v>25331.87</v>
      </c>
      <c r="AH176">
        <v>108715.8</v>
      </c>
      <c r="AI176">
        <v>0</v>
      </c>
      <c r="AJ176">
        <v>134048</v>
      </c>
      <c r="AK176">
        <v>89</v>
      </c>
      <c r="AL176">
        <v>2</v>
      </c>
      <c r="AM176">
        <v>0</v>
      </c>
      <c r="AN176">
        <v>0</v>
      </c>
      <c r="AO176">
        <v>27</v>
      </c>
      <c r="AP176">
        <v>140</v>
      </c>
      <c r="AQ176">
        <v>3</v>
      </c>
      <c r="AR176">
        <v>0</v>
      </c>
      <c r="AS176">
        <v>36</v>
      </c>
      <c r="AT176">
        <v>0</v>
      </c>
      <c r="AU176">
        <v>0</v>
      </c>
      <c r="AV176">
        <v>0</v>
      </c>
      <c r="AW176">
        <v>25332</v>
      </c>
      <c r="AX176">
        <v>93570</v>
      </c>
      <c r="AY176">
        <v>1155</v>
      </c>
      <c r="AZ176">
        <v>0</v>
      </c>
      <c r="BA176">
        <v>13991</v>
      </c>
      <c r="BB176">
        <v>0</v>
      </c>
      <c r="BC176">
        <v>0</v>
      </c>
      <c r="BD176">
        <v>0</v>
      </c>
      <c r="BE176">
        <v>109663</v>
      </c>
      <c r="BF176">
        <v>123</v>
      </c>
      <c r="BG176">
        <v>19685</v>
      </c>
      <c r="BH176">
        <v>662</v>
      </c>
      <c r="BI176">
        <v>29.73565</v>
      </c>
      <c r="BJ176">
        <v>29.294560000000001</v>
      </c>
      <c r="BK176">
        <v>29.294560000000001</v>
      </c>
      <c r="BL176">
        <v>29.294560000000001</v>
      </c>
      <c r="BM176">
        <v>434659.6</v>
      </c>
      <c r="BN176">
        <v>4975865</v>
      </c>
      <c r="BO176">
        <v>355.14069999999998</v>
      </c>
      <c r="BP176">
        <v>88.61739</v>
      </c>
      <c r="BQ176">
        <v>0.81300360000000005</v>
      </c>
      <c r="BR176">
        <v>4.0075729999999998</v>
      </c>
      <c r="BS176">
        <v>8911.2710000000006</v>
      </c>
      <c r="BT176">
        <v>4119.5959999999995</v>
      </c>
      <c r="BU176">
        <v>1306.82</v>
      </c>
      <c r="BV176" s="1">
        <v>329800000</v>
      </c>
      <c r="BW176" s="1">
        <v>1156000000</v>
      </c>
      <c r="BX176">
        <v>96366117</v>
      </c>
      <c r="BY176" s="1">
        <v>383500000</v>
      </c>
      <c r="BZ176">
        <v>20209520</v>
      </c>
      <c r="CA176" s="1">
        <v>146000000</v>
      </c>
      <c r="CB176">
        <v>74704</v>
      </c>
      <c r="CC176">
        <v>261915</v>
      </c>
      <c r="CD176">
        <v>41801</v>
      </c>
      <c r="CE176">
        <v>166358</v>
      </c>
      <c r="CF176">
        <v>22480</v>
      </c>
      <c r="CG176">
        <v>162957</v>
      </c>
      <c r="CH176">
        <v>3</v>
      </c>
      <c r="CI176">
        <v>402</v>
      </c>
      <c r="CJ176">
        <v>478480</v>
      </c>
      <c r="CK176">
        <v>4980091</v>
      </c>
      <c r="CL176">
        <v>816</v>
      </c>
      <c r="CM176">
        <v>492625</v>
      </c>
      <c r="CN176">
        <v>4977029</v>
      </c>
      <c r="CO176">
        <v>44023.71</v>
      </c>
      <c r="CP176">
        <v>57977.09</v>
      </c>
      <c r="CQ176">
        <v>44.023710000000001</v>
      </c>
      <c r="CR176">
        <v>57.977089999999997</v>
      </c>
      <c r="CS176">
        <f t="shared" si="5"/>
        <v>922.17801047120417</v>
      </c>
    </row>
    <row r="177" spans="1:97">
      <c r="A177" t="s">
        <v>178</v>
      </c>
      <c r="B177" t="s">
        <v>182</v>
      </c>
      <c r="C177" t="s">
        <v>178</v>
      </c>
      <c r="D177">
        <v>4113</v>
      </c>
      <c r="E177">
        <v>340</v>
      </c>
      <c r="F177">
        <v>157.5</v>
      </c>
      <c r="G177">
        <v>6139</v>
      </c>
      <c r="H177">
        <v>506.94049999999999</v>
      </c>
      <c r="I177">
        <v>65833</v>
      </c>
      <c r="J177">
        <v>0.8</v>
      </c>
      <c r="K177">
        <v>352</v>
      </c>
      <c r="L177">
        <v>276</v>
      </c>
      <c r="M177">
        <v>293</v>
      </c>
      <c r="N177">
        <v>217</v>
      </c>
      <c r="O177">
        <v>586</v>
      </c>
      <c r="P177">
        <v>217</v>
      </c>
      <c r="Q177">
        <v>77</v>
      </c>
      <c r="R177">
        <v>0.17948720000000001</v>
      </c>
      <c r="S177">
        <v>1.35023</v>
      </c>
      <c r="T177">
        <v>0.45426359999999999</v>
      </c>
      <c r="U177">
        <v>0.21232680000000001</v>
      </c>
      <c r="V177">
        <v>0.27266580000000001</v>
      </c>
      <c r="W177">
        <v>0.72733429999999999</v>
      </c>
      <c r="X177">
        <v>6.2509999999999996E-3</v>
      </c>
      <c r="Y177" s="2">
        <f t="shared" si="4"/>
        <v>6.2509999999999994</v>
      </c>
      <c r="Z177">
        <v>26569567</v>
      </c>
      <c r="AA177">
        <v>21150774</v>
      </c>
      <c r="AB177">
        <v>12500</v>
      </c>
      <c r="AC177">
        <v>1.26</v>
      </c>
      <c r="AD177">
        <v>0.75</v>
      </c>
      <c r="AE177">
        <v>1</v>
      </c>
      <c r="AF177">
        <v>9.7799999999999994</v>
      </c>
      <c r="AG177">
        <v>7752.1</v>
      </c>
      <c r="AH177">
        <v>54459.66</v>
      </c>
      <c r="AI177">
        <v>6084</v>
      </c>
      <c r="AJ177">
        <v>62212</v>
      </c>
      <c r="AK177">
        <v>12</v>
      </c>
      <c r="AL177">
        <v>5</v>
      </c>
      <c r="AM177">
        <v>20</v>
      </c>
      <c r="AN177">
        <v>4</v>
      </c>
      <c r="AO177">
        <v>0</v>
      </c>
      <c r="AP177">
        <v>256</v>
      </c>
      <c r="AQ177">
        <v>0</v>
      </c>
      <c r="AR177">
        <v>10</v>
      </c>
      <c r="AS177">
        <v>3</v>
      </c>
      <c r="AT177">
        <v>0</v>
      </c>
      <c r="AU177">
        <v>6084</v>
      </c>
      <c r="AV177">
        <v>1669</v>
      </c>
      <c r="AW177">
        <v>0</v>
      </c>
      <c r="AX177">
        <v>50879</v>
      </c>
      <c r="AY177">
        <v>0</v>
      </c>
      <c r="AZ177">
        <v>2336</v>
      </c>
      <c r="BA177">
        <v>1245</v>
      </c>
      <c r="BB177">
        <v>0</v>
      </c>
      <c r="BC177">
        <v>298823</v>
      </c>
      <c r="BD177">
        <v>34</v>
      </c>
      <c r="BE177">
        <v>244760</v>
      </c>
      <c r="BF177">
        <v>96</v>
      </c>
      <c r="BG177">
        <v>39815</v>
      </c>
      <c r="BH177">
        <v>1890</v>
      </c>
      <c r="BI177">
        <v>21.066140000000001</v>
      </c>
      <c r="BJ177">
        <v>27.233809999999998</v>
      </c>
      <c r="BK177">
        <v>27.233809999999998</v>
      </c>
      <c r="BL177">
        <v>27.233809999999998</v>
      </c>
      <c r="BM177">
        <v>459311.1</v>
      </c>
      <c r="BN177">
        <v>4979417</v>
      </c>
      <c r="BO177">
        <v>165.5641</v>
      </c>
      <c r="BP177">
        <v>12.1099</v>
      </c>
      <c r="BQ177">
        <v>0.1009158</v>
      </c>
      <c r="BR177">
        <v>13.67179</v>
      </c>
      <c r="BS177">
        <v>324717.8</v>
      </c>
      <c r="BT177">
        <v>149213.79999999999</v>
      </c>
      <c r="BU177">
        <v>484668.7</v>
      </c>
      <c r="BV177" s="1">
        <v>3470000000</v>
      </c>
      <c r="BW177" s="1">
        <v>8703000000</v>
      </c>
      <c r="BX177" s="1">
        <v>1263000000</v>
      </c>
      <c r="BY177" s="1">
        <v>2705000000</v>
      </c>
      <c r="BZ177" s="1">
        <v>4497000000</v>
      </c>
      <c r="CA177" s="1">
        <v>9560000000</v>
      </c>
      <c r="CB177">
        <v>746896</v>
      </c>
      <c r="CC177">
        <v>1873265</v>
      </c>
      <c r="CD177">
        <v>532915</v>
      </c>
      <c r="CE177">
        <v>1141781</v>
      </c>
      <c r="CF177">
        <v>679878</v>
      </c>
      <c r="CG177">
        <v>1444749</v>
      </c>
      <c r="CH177">
        <v>3</v>
      </c>
      <c r="CI177">
        <v>402</v>
      </c>
      <c r="CJ177">
        <v>478480</v>
      </c>
      <c r="CK177">
        <v>4980091</v>
      </c>
      <c r="CL177">
        <v>816</v>
      </c>
      <c r="CM177">
        <v>492625</v>
      </c>
      <c r="CN177">
        <v>4977029</v>
      </c>
      <c r="CO177">
        <v>19180.72</v>
      </c>
      <c r="CP177">
        <v>33399.35</v>
      </c>
      <c r="CQ177">
        <v>19.180720000000001</v>
      </c>
      <c r="CR177">
        <v>33.399349999999998</v>
      </c>
      <c r="CS177">
        <f t="shared" si="5"/>
        <v>1819.5760368663593</v>
      </c>
    </row>
    <row r="178" spans="1:97">
      <c r="A178" t="s">
        <v>68</v>
      </c>
      <c r="B178" t="s">
        <v>158</v>
      </c>
      <c r="C178" t="s">
        <v>68</v>
      </c>
      <c r="D178">
        <v>3547</v>
      </c>
      <c r="E178">
        <v>108</v>
      </c>
      <c r="F178">
        <v>52.636360000000003</v>
      </c>
      <c r="G178">
        <v>292</v>
      </c>
      <c r="H178">
        <v>8.8712870000000006</v>
      </c>
      <c r="I178">
        <v>96256</v>
      </c>
      <c r="J178">
        <v>0.91</v>
      </c>
      <c r="K178">
        <v>296</v>
      </c>
      <c r="L178">
        <v>261</v>
      </c>
      <c r="M178">
        <v>262</v>
      </c>
      <c r="N178">
        <v>227</v>
      </c>
      <c r="O178">
        <v>524</v>
      </c>
      <c r="P178">
        <v>227</v>
      </c>
      <c r="Q178">
        <v>36</v>
      </c>
      <c r="R178">
        <v>8.0178200000000005E-2</v>
      </c>
      <c r="S178">
        <v>1.154185</v>
      </c>
      <c r="T178">
        <v>0.3881482</v>
      </c>
      <c r="U178">
        <v>0.40773239999999999</v>
      </c>
      <c r="V178">
        <v>0.32697169999999998</v>
      </c>
      <c r="W178">
        <v>0.67302830000000002</v>
      </c>
      <c r="X178">
        <v>5.1070000000000004E-3</v>
      </c>
      <c r="Y178" s="2">
        <f t="shared" si="4"/>
        <v>5.1070000000000002</v>
      </c>
      <c r="Z178">
        <v>61620375</v>
      </c>
      <c r="AA178">
        <v>39965307</v>
      </c>
      <c r="AB178">
        <v>12450</v>
      </c>
      <c r="AC178">
        <v>1.54</v>
      </c>
      <c r="AD178">
        <v>0.31</v>
      </c>
      <c r="AE178">
        <v>0.56000000000000005</v>
      </c>
      <c r="AF178">
        <v>7.49</v>
      </c>
      <c r="AG178">
        <v>10051.69</v>
      </c>
      <c r="AH178">
        <v>96774.2</v>
      </c>
      <c r="AI178">
        <v>8003</v>
      </c>
      <c r="AJ178">
        <v>106826</v>
      </c>
      <c r="AK178">
        <v>33</v>
      </c>
      <c r="AL178">
        <v>3</v>
      </c>
      <c r="AM178">
        <v>4</v>
      </c>
      <c r="AN178">
        <v>0</v>
      </c>
      <c r="AO178">
        <v>5</v>
      </c>
      <c r="AP178">
        <v>251</v>
      </c>
      <c r="AQ178">
        <v>0</v>
      </c>
      <c r="AR178">
        <v>2</v>
      </c>
      <c r="AS178">
        <v>0</v>
      </c>
      <c r="AT178">
        <v>0</v>
      </c>
      <c r="AU178">
        <v>8003</v>
      </c>
      <c r="AV178">
        <v>0</v>
      </c>
      <c r="AW178">
        <v>2049</v>
      </c>
      <c r="AX178">
        <v>96289</v>
      </c>
      <c r="AY178">
        <v>0</v>
      </c>
      <c r="AZ178">
        <v>485</v>
      </c>
      <c r="BA178">
        <v>0</v>
      </c>
      <c r="BB178">
        <v>0</v>
      </c>
      <c r="BC178">
        <v>0</v>
      </c>
      <c r="BD178">
        <v>0</v>
      </c>
      <c r="BE178">
        <v>207561</v>
      </c>
      <c r="BF178">
        <v>94</v>
      </c>
      <c r="BG178">
        <v>40235</v>
      </c>
      <c r="BH178">
        <v>1737</v>
      </c>
      <c r="BI178">
        <v>23.163499999999999</v>
      </c>
      <c r="BJ178">
        <v>26.605319999999999</v>
      </c>
      <c r="BK178">
        <v>26.605319999999999</v>
      </c>
      <c r="BL178">
        <v>26.605319999999999</v>
      </c>
      <c r="BM178">
        <v>514243.1</v>
      </c>
      <c r="BN178">
        <v>4979800</v>
      </c>
      <c r="BO178">
        <v>181.91409999999999</v>
      </c>
      <c r="BP178">
        <v>32.915179999999999</v>
      </c>
      <c r="BQ178">
        <v>0.56750299999999998</v>
      </c>
      <c r="BR178">
        <v>5.5267530000000002</v>
      </c>
      <c r="BS178">
        <v>65269.05</v>
      </c>
      <c r="BT178">
        <v>31962.880000000001</v>
      </c>
      <c r="BU178">
        <v>5373.15</v>
      </c>
      <c r="BV178" s="1">
        <v>1324000000</v>
      </c>
      <c r="BW178" s="1">
        <v>4436000000</v>
      </c>
      <c r="BX178" s="1">
        <v>372800000</v>
      </c>
      <c r="BY178" s="1">
        <v>1267000000</v>
      </c>
      <c r="BZ178">
        <v>43550900</v>
      </c>
      <c r="CA178" s="1">
        <v>218000000</v>
      </c>
      <c r="CB178">
        <v>304275</v>
      </c>
      <c r="CC178">
        <v>1019631</v>
      </c>
      <c r="CD178">
        <v>166653</v>
      </c>
      <c r="CE178">
        <v>566259</v>
      </c>
      <c r="CF178">
        <v>113710</v>
      </c>
      <c r="CG178">
        <v>568835</v>
      </c>
      <c r="CH178">
        <v>3</v>
      </c>
      <c r="CI178">
        <v>402</v>
      </c>
      <c r="CJ178">
        <v>478480</v>
      </c>
      <c r="CK178">
        <v>4980091</v>
      </c>
      <c r="CL178">
        <v>816</v>
      </c>
      <c r="CM178">
        <v>492625</v>
      </c>
      <c r="CN178">
        <v>4977029</v>
      </c>
      <c r="CO178">
        <v>35764.31</v>
      </c>
      <c r="CP178">
        <v>21794.93</v>
      </c>
      <c r="CQ178">
        <v>35.764310000000002</v>
      </c>
      <c r="CR178">
        <v>21.794930000000001</v>
      </c>
      <c r="CS178">
        <f t="shared" si="5"/>
        <v>1468.8017621145375</v>
      </c>
    </row>
    <row r="179" spans="1:97">
      <c r="A179" t="s">
        <v>69</v>
      </c>
      <c r="B179" t="s">
        <v>163</v>
      </c>
      <c r="C179" t="s">
        <v>70</v>
      </c>
      <c r="D179">
        <v>19405</v>
      </c>
      <c r="E179">
        <v>1498</v>
      </c>
      <c r="F179">
        <v>729.61540000000002</v>
      </c>
      <c r="G179">
        <v>8726</v>
      </c>
      <c r="H179">
        <v>673.40309999999999</v>
      </c>
      <c r="I179">
        <v>41103</v>
      </c>
      <c r="J179">
        <v>0.85</v>
      </c>
      <c r="K179">
        <v>837</v>
      </c>
      <c r="L179">
        <v>554</v>
      </c>
      <c r="M179">
        <v>789</v>
      </c>
      <c r="N179">
        <v>506</v>
      </c>
      <c r="O179">
        <v>1578</v>
      </c>
      <c r="P179">
        <v>506</v>
      </c>
      <c r="Q179">
        <v>284</v>
      </c>
      <c r="R179">
        <v>0.28202579999999999</v>
      </c>
      <c r="S179">
        <v>1.5592889999999999</v>
      </c>
      <c r="T179">
        <v>0.52182539999999999</v>
      </c>
      <c r="U179">
        <v>0.16359219999999999</v>
      </c>
      <c r="V179">
        <v>7.1226200000000003E-2</v>
      </c>
      <c r="W179">
        <v>0.92877379999999998</v>
      </c>
      <c r="X179">
        <v>3.088E-3</v>
      </c>
      <c r="Y179" s="2">
        <f t="shared" si="4"/>
        <v>3.0880000000000001</v>
      </c>
      <c r="Z179">
        <v>30544005</v>
      </c>
      <c r="AA179">
        <v>23494579</v>
      </c>
      <c r="AB179">
        <v>12500</v>
      </c>
      <c r="AC179">
        <v>1.3</v>
      </c>
      <c r="AD179">
        <v>0.39</v>
      </c>
      <c r="AE179">
        <v>0.49</v>
      </c>
      <c r="AF179">
        <v>0</v>
      </c>
      <c r="AG179">
        <v>6661.28</v>
      </c>
      <c r="AH179">
        <v>122413</v>
      </c>
      <c r="AI179">
        <v>0</v>
      </c>
      <c r="AJ179">
        <v>129074</v>
      </c>
      <c r="AK179">
        <v>13</v>
      </c>
      <c r="AL179">
        <v>10</v>
      </c>
      <c r="AM179">
        <v>0</v>
      </c>
      <c r="AN179">
        <v>8</v>
      </c>
      <c r="AO179">
        <v>22</v>
      </c>
      <c r="AP179">
        <v>747</v>
      </c>
      <c r="AQ179">
        <v>0</v>
      </c>
      <c r="AR179">
        <v>7</v>
      </c>
      <c r="AS179">
        <v>5</v>
      </c>
      <c r="AT179">
        <v>0</v>
      </c>
      <c r="AU179">
        <v>0</v>
      </c>
      <c r="AV179">
        <v>2660</v>
      </c>
      <c r="AW179">
        <v>4001</v>
      </c>
      <c r="AX179">
        <v>120127</v>
      </c>
      <c r="AY179">
        <v>0</v>
      </c>
      <c r="AZ179">
        <v>1280</v>
      </c>
      <c r="BA179">
        <v>1006</v>
      </c>
      <c r="BB179">
        <v>0</v>
      </c>
      <c r="BC179">
        <v>291158</v>
      </c>
      <c r="BD179">
        <v>70</v>
      </c>
      <c r="BE179">
        <v>299858</v>
      </c>
      <c r="BF179">
        <v>25</v>
      </c>
      <c r="BG179">
        <v>190470</v>
      </c>
      <c r="BH179">
        <v>9485</v>
      </c>
      <c r="BI179">
        <v>20.08118</v>
      </c>
      <c r="BJ179">
        <v>26.971270000000001</v>
      </c>
      <c r="BK179">
        <v>26.971270000000001</v>
      </c>
      <c r="BL179">
        <v>26.971270000000001</v>
      </c>
      <c r="BM179">
        <v>493231.3</v>
      </c>
      <c r="BN179">
        <v>4972055</v>
      </c>
      <c r="BO179">
        <v>240.6266</v>
      </c>
      <c r="BP179">
        <v>12.95806</v>
      </c>
      <c r="BQ179">
        <v>4.3483399999999998E-2</v>
      </c>
      <c r="BR179">
        <v>18.569649999999999</v>
      </c>
      <c r="BS179">
        <v>1311135</v>
      </c>
      <c r="BT179">
        <v>640871.6</v>
      </c>
      <c r="BU179">
        <v>589588.30000000005</v>
      </c>
      <c r="BV179" s="1">
        <v>20570000000</v>
      </c>
      <c r="BW179" s="1">
        <v>41760000000</v>
      </c>
      <c r="BX179" s="1">
        <v>5813000000</v>
      </c>
      <c r="BY179" s="1">
        <v>11560000000</v>
      </c>
      <c r="BZ179" s="1">
        <v>6741000000</v>
      </c>
      <c r="CA179" s="1">
        <v>13100000000</v>
      </c>
      <c r="CB179">
        <v>1052431</v>
      </c>
      <c r="CC179">
        <v>2137063</v>
      </c>
      <c r="CD179">
        <v>593361</v>
      </c>
      <c r="CE179">
        <v>1179637</v>
      </c>
      <c r="CF179">
        <v>756991</v>
      </c>
      <c r="CG179">
        <v>1467991</v>
      </c>
      <c r="CH179">
        <v>3</v>
      </c>
      <c r="CI179">
        <v>402</v>
      </c>
      <c r="CJ179">
        <v>478480</v>
      </c>
      <c r="CK179">
        <v>4980091</v>
      </c>
      <c r="CL179">
        <v>816</v>
      </c>
      <c r="CM179">
        <v>492625</v>
      </c>
      <c r="CN179">
        <v>4977029</v>
      </c>
      <c r="CO179">
        <v>16798.349999999999</v>
      </c>
      <c r="CP179">
        <v>5011.3059999999996</v>
      </c>
      <c r="CQ179">
        <v>16.798349999999999</v>
      </c>
      <c r="CR179">
        <v>5.0113060000000003</v>
      </c>
      <c r="CS179">
        <f t="shared" si="5"/>
        <v>958.7450592885375</v>
      </c>
    </row>
    <row r="180" spans="1:97">
      <c r="A180" t="s">
        <v>71</v>
      </c>
      <c r="B180" t="s">
        <v>165</v>
      </c>
      <c r="C180" t="s">
        <v>71</v>
      </c>
      <c r="D180">
        <v>23974</v>
      </c>
      <c r="E180">
        <v>1087</v>
      </c>
      <c r="F180">
        <v>551.81820000000005</v>
      </c>
      <c r="G180">
        <v>12244</v>
      </c>
      <c r="H180">
        <v>555.05920000000003</v>
      </c>
      <c r="I180">
        <v>52941</v>
      </c>
      <c r="J180">
        <v>0.87</v>
      </c>
      <c r="K180">
        <v>1324</v>
      </c>
      <c r="L180">
        <v>940</v>
      </c>
      <c r="M180">
        <v>1220</v>
      </c>
      <c r="N180">
        <v>836</v>
      </c>
      <c r="O180">
        <v>2440</v>
      </c>
      <c r="P180">
        <v>836</v>
      </c>
      <c r="Q180">
        <v>385</v>
      </c>
      <c r="R180">
        <v>0.23095379999999999</v>
      </c>
      <c r="S180">
        <v>1.45933</v>
      </c>
      <c r="T180">
        <v>0.48760989999999999</v>
      </c>
      <c r="U180">
        <v>0.16188939999999999</v>
      </c>
      <c r="V180">
        <v>0.13806109999999999</v>
      </c>
      <c r="W180">
        <v>0.8619388</v>
      </c>
      <c r="X180">
        <v>1.748E-3</v>
      </c>
      <c r="Y180" s="2">
        <f t="shared" si="4"/>
        <v>1.748</v>
      </c>
      <c r="Z180">
        <v>48131580</v>
      </c>
      <c r="AA180">
        <v>37327318</v>
      </c>
      <c r="AB180">
        <v>12500</v>
      </c>
      <c r="AC180">
        <v>1.29</v>
      </c>
      <c r="AD180">
        <v>0.44</v>
      </c>
      <c r="AE180">
        <v>0.56999999999999995</v>
      </c>
      <c r="AF180">
        <v>2.87</v>
      </c>
      <c r="AG180">
        <v>10993.69</v>
      </c>
      <c r="AH180">
        <v>186511.4</v>
      </c>
      <c r="AI180">
        <v>5677</v>
      </c>
      <c r="AJ180">
        <v>197505</v>
      </c>
      <c r="AK180">
        <v>22</v>
      </c>
      <c r="AL180">
        <v>9</v>
      </c>
      <c r="AM180">
        <v>11</v>
      </c>
      <c r="AN180">
        <v>21</v>
      </c>
      <c r="AO180">
        <v>0</v>
      </c>
      <c r="AP180">
        <v>1146</v>
      </c>
      <c r="AQ180">
        <v>0</v>
      </c>
      <c r="AR180">
        <v>11</v>
      </c>
      <c r="AS180">
        <v>31</v>
      </c>
      <c r="AT180">
        <v>0</v>
      </c>
      <c r="AU180">
        <v>5677</v>
      </c>
      <c r="AV180">
        <v>5316</v>
      </c>
      <c r="AW180">
        <v>0</v>
      </c>
      <c r="AX180">
        <v>181157</v>
      </c>
      <c r="AY180">
        <v>0</v>
      </c>
      <c r="AZ180">
        <v>3300</v>
      </c>
      <c r="BA180">
        <v>2055</v>
      </c>
      <c r="BB180">
        <v>0</v>
      </c>
      <c r="BC180">
        <v>658672</v>
      </c>
      <c r="BD180">
        <v>136</v>
      </c>
      <c r="BE180">
        <v>620833</v>
      </c>
      <c r="BF180">
        <v>42</v>
      </c>
      <c r="BG180">
        <v>268690</v>
      </c>
      <c r="BH180">
        <v>12140</v>
      </c>
      <c r="BI180">
        <v>22.132619999999999</v>
      </c>
      <c r="BJ180">
        <v>27.151689999999999</v>
      </c>
      <c r="BK180">
        <v>27.151689999999999</v>
      </c>
      <c r="BL180">
        <v>27.151689999999999</v>
      </c>
      <c r="BM180">
        <v>498812.2</v>
      </c>
      <c r="BN180">
        <v>4990241</v>
      </c>
      <c r="BO180">
        <v>419.3467</v>
      </c>
      <c r="BP180">
        <v>22.058910000000001</v>
      </c>
      <c r="BQ180">
        <v>5.0826999999999997E-2</v>
      </c>
      <c r="BR180">
        <v>19.01031</v>
      </c>
      <c r="BS180">
        <v>980237.4</v>
      </c>
      <c r="BT180">
        <v>496374.5</v>
      </c>
      <c r="BU180">
        <v>500626.8</v>
      </c>
      <c r="BV180" s="1">
        <v>15940000000</v>
      </c>
      <c r="BW180" s="1">
        <v>39330000000</v>
      </c>
      <c r="BX180" s="1">
        <v>4643000000</v>
      </c>
      <c r="BY180" s="1">
        <v>11490000000</v>
      </c>
      <c r="BZ180" s="1">
        <v>4562000000</v>
      </c>
      <c r="CA180" s="1">
        <v>10600000000</v>
      </c>
      <c r="CB180">
        <v>766621</v>
      </c>
      <c r="CC180">
        <v>1891546</v>
      </c>
      <c r="CD180">
        <v>428471</v>
      </c>
      <c r="CE180">
        <v>1059916</v>
      </c>
      <c r="CF180">
        <v>526615</v>
      </c>
      <c r="CG180">
        <v>1224561</v>
      </c>
      <c r="CH180">
        <v>3</v>
      </c>
      <c r="CI180">
        <v>402</v>
      </c>
      <c r="CJ180">
        <v>478480</v>
      </c>
      <c r="CK180">
        <v>4980091</v>
      </c>
      <c r="CL180">
        <v>816</v>
      </c>
      <c r="CM180">
        <v>492625</v>
      </c>
      <c r="CN180">
        <v>4977029</v>
      </c>
      <c r="CO180">
        <v>22724.63</v>
      </c>
      <c r="CP180">
        <v>14588.51</v>
      </c>
      <c r="CQ180">
        <v>22.724630000000001</v>
      </c>
      <c r="CR180">
        <v>14.588509999999999</v>
      </c>
      <c r="CS180">
        <f t="shared" si="5"/>
        <v>1204.4354066985645</v>
      </c>
    </row>
    <row r="181" spans="1:97">
      <c r="A181" t="s">
        <v>72</v>
      </c>
      <c r="B181" t="s">
        <v>165</v>
      </c>
      <c r="C181" t="s">
        <v>72</v>
      </c>
      <c r="D181">
        <v>11293</v>
      </c>
      <c r="E181">
        <v>396</v>
      </c>
      <c r="F181">
        <v>205.82759999999999</v>
      </c>
      <c r="G181">
        <v>2082</v>
      </c>
      <c r="H181">
        <v>72.969350000000006</v>
      </c>
      <c r="I181">
        <v>70000</v>
      </c>
      <c r="J181">
        <v>0.9</v>
      </c>
      <c r="K181">
        <v>692</v>
      </c>
      <c r="L181">
        <v>547</v>
      </c>
      <c r="M181">
        <v>621</v>
      </c>
      <c r="N181">
        <v>476</v>
      </c>
      <c r="O181">
        <v>1242</v>
      </c>
      <c r="P181">
        <v>476</v>
      </c>
      <c r="Q181">
        <v>146</v>
      </c>
      <c r="R181">
        <v>0.15417110000000001</v>
      </c>
      <c r="S181">
        <v>1.3046219999999999</v>
      </c>
      <c r="T181">
        <v>0.43670890000000001</v>
      </c>
      <c r="U181">
        <v>0.20924000000000001</v>
      </c>
      <c r="V181">
        <v>0.29696899999999998</v>
      </c>
      <c r="W181">
        <v>0.70303090000000001</v>
      </c>
      <c r="X181">
        <v>2.7469999999999999E-3</v>
      </c>
      <c r="Y181" s="2">
        <f t="shared" si="4"/>
        <v>2.7469999999999999</v>
      </c>
      <c r="Z181">
        <v>31405928</v>
      </c>
      <c r="AA181">
        <v>19839706</v>
      </c>
      <c r="AB181">
        <v>7796</v>
      </c>
      <c r="AC181">
        <v>1.58</v>
      </c>
      <c r="AD181">
        <v>0.18</v>
      </c>
      <c r="AE181">
        <v>0.42</v>
      </c>
      <c r="AF181">
        <v>3.22</v>
      </c>
      <c r="AG181">
        <v>6997.04</v>
      </c>
      <c r="AH181">
        <v>122941</v>
      </c>
      <c r="AI181">
        <v>4179</v>
      </c>
      <c r="AJ181">
        <v>129938</v>
      </c>
      <c r="AK181">
        <v>29</v>
      </c>
      <c r="AL181">
        <v>5</v>
      </c>
      <c r="AM181">
        <v>3</v>
      </c>
      <c r="AN181">
        <v>7</v>
      </c>
      <c r="AO181">
        <v>0</v>
      </c>
      <c r="AP181">
        <v>608</v>
      </c>
      <c r="AQ181">
        <v>0</v>
      </c>
      <c r="AR181">
        <v>2</v>
      </c>
      <c r="AS181">
        <v>1</v>
      </c>
      <c r="AT181">
        <v>0</v>
      </c>
      <c r="AU181">
        <v>4179</v>
      </c>
      <c r="AV181">
        <v>2818</v>
      </c>
      <c r="AW181">
        <v>0</v>
      </c>
      <c r="AX181">
        <v>122036</v>
      </c>
      <c r="AY181">
        <v>0</v>
      </c>
      <c r="AZ181">
        <v>721</v>
      </c>
      <c r="BA181">
        <v>184</v>
      </c>
      <c r="BB181">
        <v>0</v>
      </c>
      <c r="BC181">
        <v>0</v>
      </c>
      <c r="BD181">
        <v>0</v>
      </c>
      <c r="BE181">
        <v>221367</v>
      </c>
      <c r="BF181">
        <v>32</v>
      </c>
      <c r="BG181">
        <v>145330</v>
      </c>
      <c r="BH181">
        <v>5969</v>
      </c>
      <c r="BI181">
        <v>24.347460000000002</v>
      </c>
      <c r="BJ181">
        <v>28.262370000000001</v>
      </c>
      <c r="BK181">
        <v>28.262370000000001</v>
      </c>
      <c r="BL181">
        <v>28.262370000000001</v>
      </c>
      <c r="BM181">
        <v>498161</v>
      </c>
      <c r="BN181">
        <v>4993969</v>
      </c>
      <c r="BO181">
        <v>325.47089999999997</v>
      </c>
      <c r="BP181">
        <v>28.532530000000001</v>
      </c>
      <c r="BQ181">
        <v>0.1235174</v>
      </c>
      <c r="BR181">
        <v>11.40701</v>
      </c>
      <c r="BS181">
        <v>256638.1</v>
      </c>
      <c r="BT181">
        <v>135648</v>
      </c>
      <c r="BU181">
        <v>47314.32</v>
      </c>
      <c r="BV181" s="1">
        <v>6555000000</v>
      </c>
      <c r="BW181" s="1">
        <v>18880000000</v>
      </c>
      <c r="BX181" s="1">
        <v>2016000000</v>
      </c>
      <c r="BY181" s="1">
        <v>5829000000</v>
      </c>
      <c r="BZ181" s="1">
        <v>1319000000</v>
      </c>
      <c r="CA181" s="1">
        <v>3610000000</v>
      </c>
      <c r="CB181">
        <v>591596</v>
      </c>
      <c r="CC181">
        <v>1703705</v>
      </c>
      <c r="CD181">
        <v>335710</v>
      </c>
      <c r="CE181">
        <v>970781</v>
      </c>
      <c r="CF181">
        <v>403346</v>
      </c>
      <c r="CG181">
        <v>1103020</v>
      </c>
      <c r="CH181">
        <v>3</v>
      </c>
      <c r="CI181">
        <v>402</v>
      </c>
      <c r="CJ181">
        <v>478480</v>
      </c>
      <c r="CK181">
        <v>4980091</v>
      </c>
      <c r="CL181">
        <v>816</v>
      </c>
      <c r="CM181">
        <v>492625</v>
      </c>
      <c r="CN181">
        <v>4977029</v>
      </c>
      <c r="CO181">
        <v>24081.96</v>
      </c>
      <c r="CP181">
        <v>17821.64</v>
      </c>
      <c r="CQ181">
        <v>24.081959999999999</v>
      </c>
      <c r="CR181">
        <v>17.821639999999999</v>
      </c>
      <c r="CS181">
        <f t="shared" si="5"/>
        <v>759.19327731092437</v>
      </c>
    </row>
    <row r="182" spans="1:97">
      <c r="A182" t="s">
        <v>73</v>
      </c>
      <c r="B182" t="s">
        <v>158</v>
      </c>
      <c r="C182" t="s">
        <v>73</v>
      </c>
      <c r="D182">
        <v>549</v>
      </c>
      <c r="E182">
        <v>1658</v>
      </c>
      <c r="G182">
        <v>0</v>
      </c>
      <c r="H182">
        <v>0</v>
      </c>
      <c r="I182">
        <v>42500</v>
      </c>
      <c r="J182">
        <v>0.82</v>
      </c>
      <c r="K182">
        <v>111</v>
      </c>
      <c r="L182">
        <v>86</v>
      </c>
      <c r="M182">
        <v>99</v>
      </c>
      <c r="N182">
        <v>74</v>
      </c>
      <c r="O182">
        <v>198</v>
      </c>
      <c r="P182">
        <v>74</v>
      </c>
      <c r="Q182">
        <v>26</v>
      </c>
      <c r="R182">
        <v>0.18181820000000001</v>
      </c>
      <c r="S182">
        <v>1.3378380000000001</v>
      </c>
      <c r="T182">
        <v>0.4583333</v>
      </c>
      <c r="U182">
        <v>8.0147599999999999E-2</v>
      </c>
      <c r="V182">
        <v>0.21116019999999999</v>
      </c>
      <c r="W182">
        <v>0.78883979999999998</v>
      </c>
      <c r="X182">
        <v>1.8327E-2</v>
      </c>
      <c r="Y182" s="2">
        <f t="shared" si="4"/>
        <v>18.326999999999998</v>
      </c>
      <c r="Z182">
        <v>5354332</v>
      </c>
      <c r="AA182">
        <v>4079323</v>
      </c>
      <c r="AB182">
        <v>12500</v>
      </c>
      <c r="AC182">
        <v>1.31</v>
      </c>
      <c r="AD182">
        <v>0</v>
      </c>
      <c r="AE182">
        <v>0</v>
      </c>
      <c r="AF182">
        <v>0</v>
      </c>
      <c r="AG182">
        <v>0</v>
      </c>
      <c r="AH182">
        <v>7934.61</v>
      </c>
      <c r="AI182">
        <v>0</v>
      </c>
      <c r="AJ182">
        <v>7935</v>
      </c>
      <c r="AK182">
        <v>0</v>
      </c>
      <c r="AL182">
        <v>24</v>
      </c>
      <c r="AM182">
        <v>0</v>
      </c>
      <c r="AN182">
        <v>0</v>
      </c>
      <c r="AO182">
        <v>0</v>
      </c>
      <c r="AP182">
        <v>99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7935</v>
      </c>
      <c r="AY182">
        <v>0</v>
      </c>
      <c r="AZ182">
        <v>0</v>
      </c>
      <c r="BA182">
        <v>0</v>
      </c>
      <c r="BB182">
        <v>0</v>
      </c>
      <c r="BC182">
        <v>4931</v>
      </c>
      <c r="BD182">
        <v>4</v>
      </c>
      <c r="BE182">
        <v>4727</v>
      </c>
      <c r="BF182">
        <v>14</v>
      </c>
      <c r="BG182">
        <v>5905</v>
      </c>
      <c r="BH182">
        <v>283</v>
      </c>
      <c r="BI182">
        <v>20.86572</v>
      </c>
      <c r="BJ182">
        <v>25.974969999999999</v>
      </c>
      <c r="BK182">
        <v>25.974969999999999</v>
      </c>
      <c r="BL182">
        <v>25.974969999999999</v>
      </c>
      <c r="BM182">
        <v>503378.3</v>
      </c>
      <c r="BN182">
        <v>4988940</v>
      </c>
      <c r="BO182">
        <v>18.82424</v>
      </c>
      <c r="BP182">
        <v>0.3310651</v>
      </c>
      <c r="BQ182">
        <v>6.4914999999999999E-3</v>
      </c>
      <c r="BR182">
        <v>56.859639999999999</v>
      </c>
      <c r="BS182">
        <v>1321060</v>
      </c>
      <c r="BT182">
        <v>680983.6</v>
      </c>
      <c r="BU182">
        <v>0</v>
      </c>
      <c r="CH182">
        <v>1</v>
      </c>
      <c r="CI182">
        <v>402</v>
      </c>
      <c r="CJ182">
        <v>478480</v>
      </c>
      <c r="CK182">
        <v>4980091</v>
      </c>
      <c r="CL182">
        <v>816</v>
      </c>
      <c r="CM182">
        <v>492625</v>
      </c>
      <c r="CN182">
        <v>4977029</v>
      </c>
      <c r="CO182">
        <v>26423.83</v>
      </c>
      <c r="CP182">
        <v>16046.57</v>
      </c>
      <c r="CQ182">
        <v>26.423829999999999</v>
      </c>
      <c r="CR182">
        <v>16.046569999999999</v>
      </c>
      <c r="CS182">
        <f t="shared" si="5"/>
        <v>103.86486486486487</v>
      </c>
    </row>
    <row r="183" spans="1:97">
      <c r="A183" t="s">
        <v>74</v>
      </c>
      <c r="B183" t="s">
        <v>75</v>
      </c>
      <c r="C183" t="s">
        <v>74</v>
      </c>
      <c r="D183">
        <v>46463</v>
      </c>
      <c r="E183">
        <v>502</v>
      </c>
      <c r="F183">
        <v>261.37630000000001</v>
      </c>
      <c r="G183">
        <v>16077</v>
      </c>
      <c r="H183">
        <v>173.5334</v>
      </c>
      <c r="I183">
        <v>76109</v>
      </c>
      <c r="J183">
        <v>0.89</v>
      </c>
      <c r="K183">
        <v>2495</v>
      </c>
      <c r="L183">
        <v>2044</v>
      </c>
      <c r="M183">
        <v>2303</v>
      </c>
      <c r="N183">
        <v>1852</v>
      </c>
      <c r="O183">
        <v>4606</v>
      </c>
      <c r="P183">
        <v>1852</v>
      </c>
      <c r="Q183">
        <v>452</v>
      </c>
      <c r="R183">
        <v>0.1221952</v>
      </c>
      <c r="S183">
        <v>1.24352</v>
      </c>
      <c r="T183">
        <v>0.41495500000000002</v>
      </c>
      <c r="U183">
        <v>0.187224</v>
      </c>
      <c r="V183">
        <v>0.2001078</v>
      </c>
      <c r="W183">
        <v>0.79989220000000005</v>
      </c>
      <c r="X183">
        <v>6.7199999999999996E-4</v>
      </c>
      <c r="Y183" s="2">
        <f t="shared" si="4"/>
        <v>0.67199999999999993</v>
      </c>
      <c r="Z183">
        <v>74021288</v>
      </c>
      <c r="AA183">
        <v>55101665</v>
      </c>
      <c r="AB183">
        <v>12500</v>
      </c>
      <c r="AC183">
        <v>1.34</v>
      </c>
      <c r="AD183">
        <v>0.26</v>
      </c>
      <c r="AE183">
        <v>0.43</v>
      </c>
      <c r="AF183">
        <v>3</v>
      </c>
      <c r="AG183">
        <v>16183.1</v>
      </c>
      <c r="AH183">
        <v>414993.7</v>
      </c>
      <c r="AI183">
        <v>12950</v>
      </c>
      <c r="AJ183">
        <v>431177</v>
      </c>
      <c r="AK183">
        <v>93</v>
      </c>
      <c r="AL183">
        <v>5</v>
      </c>
      <c r="AM183">
        <v>21</v>
      </c>
      <c r="AN183">
        <v>0</v>
      </c>
      <c r="AO183">
        <v>3</v>
      </c>
      <c r="AP183">
        <v>2226</v>
      </c>
      <c r="AQ183">
        <v>0</v>
      </c>
      <c r="AR183">
        <v>8</v>
      </c>
      <c r="AS183">
        <v>45</v>
      </c>
      <c r="AT183">
        <v>0</v>
      </c>
      <c r="AU183">
        <v>12950</v>
      </c>
      <c r="AV183">
        <v>0</v>
      </c>
      <c r="AW183">
        <v>3233</v>
      </c>
      <c r="AX183">
        <v>405074</v>
      </c>
      <c r="AY183">
        <v>0</v>
      </c>
      <c r="AZ183">
        <v>2935</v>
      </c>
      <c r="BA183">
        <v>6985</v>
      </c>
      <c r="BB183">
        <v>0</v>
      </c>
      <c r="BC183">
        <v>1540998</v>
      </c>
      <c r="BD183">
        <v>238</v>
      </c>
      <c r="BE183">
        <v>1277428</v>
      </c>
      <c r="BF183">
        <v>44</v>
      </c>
      <c r="BG183">
        <v>580155</v>
      </c>
      <c r="BH183">
        <v>24308</v>
      </c>
      <c r="BI183">
        <v>23.86683</v>
      </c>
      <c r="BJ183">
        <v>25.600100000000001</v>
      </c>
      <c r="BK183">
        <v>25.600100000000001</v>
      </c>
      <c r="BL183">
        <v>25.600100000000001</v>
      </c>
      <c r="BM183">
        <v>506079.7</v>
      </c>
      <c r="BN183">
        <v>4972475</v>
      </c>
      <c r="BO183">
        <v>794.04110000000003</v>
      </c>
      <c r="BP183">
        <v>92.644980000000004</v>
      </c>
      <c r="BQ183">
        <v>0.1768034</v>
      </c>
      <c r="BR183">
        <v>8.5707950000000004</v>
      </c>
      <c r="BS183">
        <v>370486.7</v>
      </c>
      <c r="BT183">
        <v>193827.1</v>
      </c>
      <c r="BU183">
        <v>128194.8</v>
      </c>
      <c r="BV183" s="1">
        <v>27360000000</v>
      </c>
      <c r="BW183" s="1">
        <v>75030000000</v>
      </c>
      <c r="BX183" s="1">
        <v>8314000000</v>
      </c>
      <c r="BY183" s="1">
        <v>23070000000</v>
      </c>
      <c r="BZ183" s="1">
        <v>6968000000</v>
      </c>
      <c r="CA183" s="1">
        <v>19600000000</v>
      </c>
      <c r="CB183">
        <v>588797</v>
      </c>
      <c r="CC183">
        <v>1614916</v>
      </c>
      <c r="CD183">
        <v>328169</v>
      </c>
      <c r="CE183">
        <v>910681</v>
      </c>
      <c r="CF183">
        <v>438246</v>
      </c>
      <c r="CG183">
        <v>1235027</v>
      </c>
      <c r="CH183">
        <v>3</v>
      </c>
      <c r="CI183">
        <v>402</v>
      </c>
      <c r="CJ183">
        <v>478480</v>
      </c>
      <c r="CK183">
        <v>4980091</v>
      </c>
      <c r="CL183">
        <v>816</v>
      </c>
      <c r="CM183">
        <v>492625</v>
      </c>
      <c r="CN183">
        <v>4977029</v>
      </c>
      <c r="CO183">
        <v>28631.31</v>
      </c>
      <c r="CP183">
        <v>14204.62</v>
      </c>
      <c r="CQ183">
        <v>28.631309999999999</v>
      </c>
      <c r="CR183">
        <v>14.20462</v>
      </c>
      <c r="CS183">
        <f t="shared" si="5"/>
        <v>1103.8725701943845</v>
      </c>
    </row>
    <row r="184" spans="1:97">
      <c r="A184" t="s">
        <v>76</v>
      </c>
      <c r="B184" t="s">
        <v>182</v>
      </c>
      <c r="C184" t="s">
        <v>76</v>
      </c>
      <c r="D184">
        <v>480</v>
      </c>
      <c r="E184">
        <v>160</v>
      </c>
      <c r="F184">
        <v>50.333329999999997</v>
      </c>
      <c r="G184">
        <v>17</v>
      </c>
      <c r="H184">
        <v>5.661937</v>
      </c>
      <c r="I184">
        <v>153881</v>
      </c>
      <c r="J184">
        <v>0.8</v>
      </c>
      <c r="K184">
        <v>45</v>
      </c>
      <c r="L184">
        <v>44</v>
      </c>
      <c r="M184">
        <v>41</v>
      </c>
      <c r="N184">
        <v>40</v>
      </c>
      <c r="O184">
        <v>82</v>
      </c>
      <c r="P184">
        <v>40</v>
      </c>
      <c r="Q184">
        <v>2</v>
      </c>
      <c r="R184">
        <v>2.6666700000000002E-2</v>
      </c>
      <c r="S184">
        <v>1.0249999999999999</v>
      </c>
      <c r="T184">
        <v>0.3596491</v>
      </c>
      <c r="U184">
        <v>0.2006145</v>
      </c>
      <c r="V184">
        <v>0.6246486</v>
      </c>
      <c r="W184">
        <v>0.3753514</v>
      </c>
      <c r="X184">
        <v>2.6282E-2</v>
      </c>
      <c r="Y184" s="2">
        <f t="shared" si="4"/>
        <v>26.282</v>
      </c>
      <c r="Z184">
        <v>6092119</v>
      </c>
      <c r="AA184">
        <v>4281270</v>
      </c>
      <c r="AB184">
        <v>7370</v>
      </c>
      <c r="AC184">
        <v>1.42</v>
      </c>
      <c r="AD184">
        <v>0</v>
      </c>
      <c r="AE184">
        <v>0</v>
      </c>
      <c r="AF184">
        <v>0</v>
      </c>
      <c r="AG184">
        <v>0</v>
      </c>
      <c r="AH184">
        <v>8225.2000000000007</v>
      </c>
      <c r="AI184">
        <v>0</v>
      </c>
      <c r="AJ184">
        <v>8225</v>
      </c>
      <c r="AK184">
        <v>3</v>
      </c>
      <c r="AL184">
        <v>3</v>
      </c>
      <c r="AM184">
        <v>0</v>
      </c>
      <c r="AN184">
        <v>0</v>
      </c>
      <c r="AO184">
        <v>0</v>
      </c>
      <c r="AP184">
        <v>41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8225</v>
      </c>
      <c r="AY184">
        <v>0</v>
      </c>
      <c r="AZ184">
        <v>0</v>
      </c>
      <c r="BA184">
        <v>0</v>
      </c>
      <c r="BB184">
        <v>0</v>
      </c>
      <c r="BC184">
        <v>2960</v>
      </c>
      <c r="BD184">
        <v>5</v>
      </c>
      <c r="BE184">
        <v>2839</v>
      </c>
      <c r="BF184">
        <v>10</v>
      </c>
      <c r="BG184">
        <v>3955</v>
      </c>
      <c r="BH184">
        <v>151</v>
      </c>
      <c r="BI184">
        <v>26.192049999999998</v>
      </c>
      <c r="BJ184">
        <v>24.901910000000001</v>
      </c>
      <c r="BK184">
        <v>24.901910000000001</v>
      </c>
      <c r="BL184">
        <v>24.901910000000001</v>
      </c>
      <c r="BM184">
        <v>459335.8</v>
      </c>
      <c r="BN184">
        <v>4977796</v>
      </c>
      <c r="BO184">
        <v>30.387910000000002</v>
      </c>
      <c r="BP184">
        <v>3.0025059999999999</v>
      </c>
      <c r="BQ184">
        <v>0.15012529999999999</v>
      </c>
      <c r="BR184">
        <v>10.120850000000001</v>
      </c>
      <c r="BS184">
        <v>99590.69</v>
      </c>
      <c r="BT184">
        <v>31329.57</v>
      </c>
      <c r="BU184">
        <v>3527.17</v>
      </c>
      <c r="BV184" s="1">
        <v>348500000</v>
      </c>
      <c r="BW184" s="1">
        <v>959200000</v>
      </c>
      <c r="BX184" s="1">
        <v>108600000</v>
      </c>
      <c r="BY184" s="1">
        <v>251900000</v>
      </c>
      <c r="BZ184">
        <v>20160992</v>
      </c>
      <c r="CA184" s="1">
        <v>44300000</v>
      </c>
      <c r="CB184">
        <v>667585</v>
      </c>
      <c r="CC184">
        <v>1837535</v>
      </c>
      <c r="CD184">
        <v>482391</v>
      </c>
      <c r="CE184">
        <v>1119158</v>
      </c>
      <c r="CF184">
        <v>630031</v>
      </c>
      <c r="CG184">
        <v>1385198</v>
      </c>
      <c r="CH184">
        <v>3</v>
      </c>
      <c r="CI184">
        <v>402</v>
      </c>
      <c r="CJ184">
        <v>478480</v>
      </c>
      <c r="CK184">
        <v>4980091</v>
      </c>
      <c r="CL184">
        <v>816</v>
      </c>
      <c r="CM184">
        <v>492625</v>
      </c>
      <c r="CN184">
        <v>4977029</v>
      </c>
      <c r="CO184">
        <v>19281.349999999999</v>
      </c>
      <c r="CP184">
        <v>33298.04</v>
      </c>
      <c r="CQ184">
        <v>19.28135</v>
      </c>
      <c r="CR184">
        <v>33.29804</v>
      </c>
      <c r="CS184">
        <f t="shared" si="5"/>
        <v>120</v>
      </c>
    </row>
    <row r="185" spans="1:97">
      <c r="A185" t="s">
        <v>77</v>
      </c>
      <c r="B185" t="s">
        <v>258</v>
      </c>
      <c r="C185" t="s">
        <v>77</v>
      </c>
      <c r="D185">
        <v>838</v>
      </c>
      <c r="E185">
        <v>9</v>
      </c>
      <c r="F185">
        <v>4.8636359999999996</v>
      </c>
      <c r="G185">
        <v>108</v>
      </c>
      <c r="H185">
        <v>1.2218519999999999</v>
      </c>
      <c r="I185">
        <v>65000</v>
      </c>
      <c r="J185">
        <v>0.79</v>
      </c>
      <c r="K185">
        <v>320</v>
      </c>
      <c r="L185">
        <v>293</v>
      </c>
      <c r="M185">
        <v>226</v>
      </c>
      <c r="N185">
        <v>199</v>
      </c>
      <c r="O185">
        <v>452</v>
      </c>
      <c r="P185">
        <v>199</v>
      </c>
      <c r="Q185">
        <v>28</v>
      </c>
      <c r="R185">
        <v>7.1246799999999999E-2</v>
      </c>
      <c r="S185">
        <v>1.135678</v>
      </c>
      <c r="T185">
        <v>0.38240269999999998</v>
      </c>
      <c r="U185">
        <v>0.66025250000000002</v>
      </c>
      <c r="V185">
        <v>0.2330796</v>
      </c>
      <c r="W185">
        <v>0.76692039999999995</v>
      </c>
      <c r="X185">
        <v>5.7359999999999998E-3</v>
      </c>
      <c r="Y185" s="2">
        <f t="shared" si="4"/>
        <v>5.7359999999999998</v>
      </c>
      <c r="Z185">
        <v>101008136</v>
      </c>
      <c r="AA185">
        <v>66238145</v>
      </c>
      <c r="AB185">
        <v>12450</v>
      </c>
      <c r="AC185">
        <v>1.52</v>
      </c>
      <c r="AD185">
        <v>1.4</v>
      </c>
      <c r="AE185">
        <v>1.18</v>
      </c>
      <c r="AF185">
        <v>0</v>
      </c>
      <c r="AG185">
        <v>19297.46</v>
      </c>
      <c r="AH185">
        <v>129919.6</v>
      </c>
      <c r="AI185">
        <v>0</v>
      </c>
      <c r="AJ185">
        <v>149217</v>
      </c>
      <c r="AK185">
        <v>88</v>
      </c>
      <c r="AL185">
        <v>2</v>
      </c>
      <c r="AM185">
        <v>0</v>
      </c>
      <c r="AN185">
        <v>11</v>
      </c>
      <c r="AO185">
        <v>18</v>
      </c>
      <c r="AP185">
        <v>145</v>
      </c>
      <c r="AQ185">
        <v>0</v>
      </c>
      <c r="AR185">
        <v>0</v>
      </c>
      <c r="AS185">
        <v>52</v>
      </c>
      <c r="AT185">
        <v>0</v>
      </c>
      <c r="AU185">
        <v>0</v>
      </c>
      <c r="AV185">
        <v>8615</v>
      </c>
      <c r="AW185">
        <v>10682</v>
      </c>
      <c r="AX185">
        <v>112441</v>
      </c>
      <c r="AY185">
        <v>0</v>
      </c>
      <c r="AZ185">
        <v>0</v>
      </c>
      <c r="BA185">
        <v>17478</v>
      </c>
      <c r="BB185">
        <v>0</v>
      </c>
      <c r="BC185">
        <v>0</v>
      </c>
      <c r="BD185">
        <v>0</v>
      </c>
      <c r="BE185">
        <v>93085</v>
      </c>
      <c r="BF185">
        <v>179</v>
      </c>
      <c r="BG185">
        <v>11285</v>
      </c>
      <c r="BH185">
        <v>428</v>
      </c>
      <c r="BI185">
        <v>26.366820000000001</v>
      </c>
      <c r="BJ185">
        <v>29.421479999999999</v>
      </c>
      <c r="BK185">
        <v>29.421479999999999</v>
      </c>
      <c r="BL185">
        <v>29.421479999999999</v>
      </c>
      <c r="BM185">
        <v>424780.3</v>
      </c>
      <c r="BN185">
        <v>4956762</v>
      </c>
      <c r="BO185">
        <v>348.1825</v>
      </c>
      <c r="BP185">
        <v>88.26934</v>
      </c>
      <c r="BQ185">
        <v>0.80244859999999996</v>
      </c>
      <c r="BR185">
        <v>3.9445459999999999</v>
      </c>
      <c r="BS185">
        <v>7178.9179999999997</v>
      </c>
      <c r="BT185">
        <v>3666.5590000000002</v>
      </c>
      <c r="BU185">
        <v>925.20659999999998</v>
      </c>
      <c r="BV185" s="1">
        <v>198500000</v>
      </c>
      <c r="BW185" s="1">
        <v>662700000</v>
      </c>
      <c r="BX185">
        <v>56657904</v>
      </c>
      <c r="BY185" s="1">
        <v>214300000</v>
      </c>
      <c r="BZ185">
        <v>24996335</v>
      </c>
      <c r="CA185" s="1">
        <v>94000000</v>
      </c>
      <c r="CB185">
        <v>44277</v>
      </c>
      <c r="CC185">
        <v>147793</v>
      </c>
      <c r="CD185">
        <v>23607</v>
      </c>
      <c r="CE185">
        <v>89298</v>
      </c>
      <c r="CF185">
        <v>14035</v>
      </c>
      <c r="CG185">
        <v>52786</v>
      </c>
      <c r="CH185">
        <v>3</v>
      </c>
      <c r="CI185">
        <v>402</v>
      </c>
      <c r="CJ185">
        <v>478480</v>
      </c>
      <c r="CK185">
        <v>4980091</v>
      </c>
      <c r="CL185">
        <v>816</v>
      </c>
      <c r="CM185">
        <v>492625</v>
      </c>
      <c r="CN185">
        <v>4977029</v>
      </c>
      <c r="CO185">
        <v>58548.26</v>
      </c>
      <c r="CP185">
        <v>70807.16</v>
      </c>
      <c r="CQ185">
        <v>58.548259999999999</v>
      </c>
      <c r="CR185">
        <v>70.807159999999996</v>
      </c>
      <c r="CS185">
        <f t="shared" si="5"/>
        <v>753.7788944723618</v>
      </c>
    </row>
  </sheetData>
  <phoneticPr fontId="1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1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23</vt:i4>
      </vt:variant>
    </vt:vector>
  </HeadingPairs>
  <TitlesOfParts>
    <vt:vector size="24" baseType="lpstr">
      <vt:lpstr>StataData</vt:lpstr>
      <vt:lpstr>Alpha_vs_TT</vt:lpstr>
      <vt:lpstr>Beta_vs_TT</vt:lpstr>
      <vt:lpstr>Gamma_vs_TT</vt:lpstr>
      <vt:lpstr>Eta_vs_TT</vt:lpstr>
      <vt:lpstr>Branchness_vs_TT</vt:lpstr>
      <vt:lpstr>Completeness_vs_TT</vt:lpstr>
      <vt:lpstr>Circuity_vs_TT</vt:lpstr>
      <vt:lpstr>Ent-len_vs_TT</vt:lpstr>
      <vt:lpstr>Alpha_vs_VKT</vt:lpstr>
      <vt:lpstr>Beta_vs_VKT</vt:lpstr>
      <vt:lpstr>Gamma_vs_VKT</vt:lpstr>
      <vt:lpstr>Eta_vs_VKT</vt:lpstr>
      <vt:lpstr>Branchness_vs_VKT</vt:lpstr>
      <vt:lpstr>Completeness_vs_VKT</vt:lpstr>
      <vt:lpstr>Circuity_vs_VKT</vt:lpstr>
      <vt:lpstr>Ent-len_vs_VKT</vt:lpstr>
      <vt:lpstr>Alpha_vs_Eta</vt:lpstr>
      <vt:lpstr>Alpha_vs_Circuity</vt:lpstr>
      <vt:lpstr>Alpha_vs_Treeness</vt:lpstr>
      <vt:lpstr>Circuity_vs_Treeness</vt:lpstr>
      <vt:lpstr>Completeness_vs_Treeness</vt:lpstr>
      <vt:lpstr>StreetDensity_vs_Eta</vt:lpstr>
      <vt:lpstr>Theta_vs_Ent_len</vt:lpstr>
    </vt:vector>
  </TitlesOfParts>
  <Company>HRTPO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Pavithra Parthasarathi</dc:creator>
  <cp:lastModifiedBy>Pavithra Parthasarathi</cp:lastModifiedBy>
  <cp:lastPrinted>2012-04-08T21:21:04Z</cp:lastPrinted>
  <dcterms:created xsi:type="dcterms:W3CDTF">2012-03-07T00:24:52Z</dcterms:created>
  <dcterms:modified xsi:type="dcterms:W3CDTF">2012-04-08T21:49:21Z</dcterms:modified>
</cp:coreProperties>
</file>